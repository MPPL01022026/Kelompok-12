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Jadwal Gantt" sheetId="2" state="visible" r:id="rId4"/>
    <sheet name="Resource Plan" sheetId="3" state="visible" r:id="rId5"/>
    <sheet name="Effort Manday" sheetId="4" state="visible" r:id="rId6"/>
    <sheet name="Biaya" sheetId="5" state="visible" r:id="rId7"/>
    <sheet name="Risk Register" sheetId="6" state="visible" r:id="rId8"/>
  </sheets>
  <definedNames>
    <definedName function="false" hidden="false" name="Bulan_Proyek" vbProcedure="false">Info!$C$16</definedName>
    <definedName function="false" hidden="false" name="Cadangan_Pct" vbProcedure="false">Info!$C$15</definedName>
    <definedName function="false" hidden="false" name="Jumlah_Anggota" vbProcedure="false">Info!$C$12</definedName>
    <definedName function="false" hidden="false" name="Libur" vbProcedure="false">Info!$C$19:$C$22</definedName>
    <definedName function="false" hidden="false" name="Mulai_Proyek" vbProcedure="false">Info!$C$9</definedName>
    <definedName function="false" hidden="false" name="Overhead_Pct" vbProcedure="false">Info!$C$14</definedName>
    <definedName function="false" hidden="false" name="Tarif_Manday" vbProcedure="false">Info!$C$13</definedName>
    <definedName function="false" hidden="false" name="Tenggat_Akhir" vbProcedure="false">Info!$C$11</definedName>
    <definedName function="false" hidden="false" name="Tenggat_Tahap2" vbProcedure="false">Info!$C$10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<sst xmlns="http://schemas.openxmlformats.org/spreadsheetml/2006/main" count="601" uniqueCount="341">
  <si>
    <t xml:space="preserve">Project Planning - Digital Twin UMKM Bakso Goreng Kak Linda</t>
  </si>
  <si>
    <t xml:space="preserve">Tahap 2 | Kelompok 12 | Informatika, Universitas Samudra | Dosen: Cut Alna</t>
  </si>
  <si>
    <t xml:space="preserve">Nama proyek</t>
  </si>
  <si>
    <t xml:space="preserve">Pengembangan Digital Twin UMKM Bakso Goreng Kak Linda</t>
  </si>
  <si>
    <t xml:space="preserve">Mata kuliah</t>
  </si>
  <si>
    <t xml:space="preserve">Manajemen Proyek Perangkat Lunak</t>
  </si>
  <si>
    <t xml:space="preserve">Kelompok</t>
  </si>
  <si>
    <t xml:space="preserve">12 (4 anggota)</t>
  </si>
  <si>
    <t xml:space="preserve">INPUT ASUMSI (sel biru, boleh diubah)</t>
  </si>
  <si>
    <t xml:space="preserve">Nilai</t>
  </si>
  <si>
    <t xml:space="preserve">Catatan</t>
  </si>
  <si>
    <t xml:space="preserve">Tanggal mulai proyek</t>
  </si>
  <si>
    <t xml:space="preserve">ASUMSI kelompok. Ganti dengan tanggal mulai sebenarnya.</t>
  </si>
  <si>
    <t xml:space="preserve">Tenggat Tahap 2 (Project Planning)</t>
  </si>
  <si>
    <t xml:space="preserve">ASUMSI, diambil dari contoh tugas. [ISI tenggat resmi]</t>
  </si>
  <si>
    <t xml:space="preserve">Tenggat akhir proyek</t>
  </si>
  <si>
    <t xml:space="preserve">ASUMSI kelompok. [ISI tenggat resmi]</t>
  </si>
  <si>
    <t xml:space="preserve">Jumlah anggota</t>
  </si>
  <si>
    <t xml:space="preserve">Sesuai data kelompok.</t>
  </si>
  <si>
    <t xml:space="preserve">Tarif tenaga kerja per manday (Rp, nilai setara)</t>
  </si>
  <si>
    <t xml:space="preserve">ASUMSI. Nilai setara, bukan uang yang dibayarkan.</t>
  </si>
  <si>
    <t xml:space="preserve">Overhead (% dari tenaga kerja)</t>
  </si>
  <si>
    <t xml:space="preserve">ASUMSI. Listrik dan tempat belajar, nonkas.</t>
  </si>
  <si>
    <t xml:space="preserve">Cadangan biaya (%)</t>
  </si>
  <si>
    <t xml:space="preserve">Sesuai ketentuan tugas: 10%.</t>
  </si>
  <si>
    <t xml:space="preserve">Lama proyek (bulan, dibulatkan ke atas)</t>
  </si>
  <si>
    <t xml:space="preserve">Rumus, dipakai di sheet Biaya</t>
  </si>
  <si>
    <t xml:space="preserve">Hari libur (dikecualikan dari hari kerja)</t>
  </si>
  <si>
    <t xml:space="preserve">Tanggal</t>
  </si>
  <si>
    <t xml:space="preserve">Keterangan</t>
  </si>
  <si>
    <t xml:space="preserve">Libur 1</t>
  </si>
  <si>
    <t xml:space="preserve">Hari Natal</t>
  </si>
  <si>
    <t xml:space="preserve">Libur 2</t>
  </si>
  <si>
    <t xml:space="preserve">Tahun Baru</t>
  </si>
  <si>
    <t xml:space="preserve">Libur 3</t>
  </si>
  <si>
    <t xml:space="preserve">[ISI libur lain, mis. libur kampus]</t>
  </si>
  <si>
    <t xml:space="preserve">Libur 4</t>
  </si>
  <si>
    <t xml:space="preserve">[ISI]</t>
  </si>
  <si>
    <t xml:space="preserve">PEMERIKSAAN OTOMATIS</t>
  </si>
  <si>
    <t xml:space="preserve">Hasil</t>
  </si>
  <si>
    <t xml:space="preserve">Pekerjaan terakhir selesai pada</t>
  </si>
  <si>
    <t xml:space="preserve">Dari sheet Jadwal Gantt</t>
  </si>
  <si>
    <t xml:space="preserve">Semua pekerjaan selesai sebelum tenggat akhir?</t>
  </si>
  <si>
    <t xml:space="preserve">Total manday (PERT)</t>
  </si>
  <si>
    <t xml:space="preserve">Dari sheet Effort Manday</t>
  </si>
  <si>
    <t xml:space="preserve">Total biaya termasuk cadangan (Rp)</t>
  </si>
  <si>
    <t xml:space="preserve">Dari sheet Biaya</t>
  </si>
  <si>
    <t xml:space="preserve">Jumlah risiko Tinggi</t>
  </si>
  <si>
    <t xml:space="preserve">Dari sheet Risk Register</t>
  </si>
  <si>
    <t xml:space="preserve">Legenda: sel biru = input asumsi, hitam = rumus, hijau = tautan dari sheet lain. Angka bertanda ASUMSI belum diverifikasi dan perlu disesuaikan kelompok.</t>
  </si>
  <si>
    <t xml:space="preserve">Project Schedule / Gantt Chart</t>
  </si>
  <si>
    <t xml:space="preserve">Hari kerja Senin-Jumat | Tanggal dihitung otomatis dari durasi dan dependensi (FS = selesai-ke-mulai, SS = mulai-ke-mulai) | Pred dan Tipe adalah input</t>
  </si>
  <si>
    <t xml:space="preserve">Kode</t>
  </si>
  <si>
    <t xml:space="preserve">Aktivitas</t>
  </si>
  <si>
    <t xml:space="preserve">Tahap</t>
  </si>
  <si>
    <t xml:space="preserve">Pelaksana</t>
  </si>
  <si>
    <t xml:space="preserve">Manday</t>
  </si>
  <si>
    <t xml:space="preserve">Orang</t>
  </si>
  <si>
    <t xml:space="preserve">Durasi (hari)</t>
  </si>
  <si>
    <t xml:space="preserve">Pred</t>
  </si>
  <si>
    <t xml:space="preserve">Tipe</t>
  </si>
  <si>
    <t xml:space="preserve">Mulai</t>
  </si>
  <si>
    <t xml:space="preserve">Selesai</t>
  </si>
  <si>
    <t xml:space="preserve">Status</t>
  </si>
  <si>
    <t xml:space="preserve">1.1</t>
  </si>
  <si>
    <t xml:space="preserve">Wawancara dan observasi</t>
  </si>
  <si>
    <t xml:space="preserve">Berjalan, data masih [ISI]</t>
  </si>
  <si>
    <t xml:space="preserve">1.2</t>
  </si>
  <si>
    <t xml:space="preserve">Latar belakang dan ide</t>
  </si>
  <si>
    <t xml:space="preserve">FS</t>
  </si>
  <si>
    <t xml:space="preserve">Draf selesai</t>
  </si>
  <si>
    <t xml:space="preserve">1.3</t>
  </si>
  <si>
    <t xml:space="preserve">Project Charter</t>
  </si>
  <si>
    <t xml:space="preserve">1.4</t>
  </si>
  <si>
    <t xml:space="preserve">Stakeholder Register</t>
  </si>
  <si>
    <t xml:space="preserve">2.1</t>
  </si>
  <si>
    <t xml:space="preserve">WBS</t>
  </si>
  <si>
    <t xml:space="preserve">2.2</t>
  </si>
  <si>
    <t xml:space="preserve">Jadwal dan manday</t>
  </si>
  <si>
    <t xml:space="preserve">2.3</t>
  </si>
  <si>
    <t xml:space="preserve">Biaya dan risiko</t>
  </si>
  <si>
    <t xml:space="preserve">2.4</t>
  </si>
  <si>
    <t xml:space="preserve">Persiapan GitHub</t>
  </si>
  <si>
    <t xml:space="preserve">3.1</t>
  </si>
  <si>
    <t xml:space="preserve">Daftar kebutuhan</t>
  </si>
  <si>
    <t xml:space="preserve">Belum dimulai</t>
  </si>
  <si>
    <t xml:space="preserve">3.2</t>
  </si>
  <si>
    <t xml:space="preserve">Analisis Titik Fungsi</t>
  </si>
  <si>
    <t xml:space="preserve">3.3</t>
  </si>
  <si>
    <t xml:space="preserve">Validasi dengan Kak Linda</t>
  </si>
  <si>
    <t xml:space="preserve">4.1</t>
  </si>
  <si>
    <t xml:space="preserve">Alur proses usaha</t>
  </si>
  <si>
    <t xml:space="preserve">4.2</t>
  </si>
  <si>
    <t xml:space="preserve">Rancangan data</t>
  </si>
  <si>
    <t xml:space="preserve">4.3</t>
  </si>
  <si>
    <t xml:space="preserve">Rancangan tampilan</t>
  </si>
  <si>
    <t xml:space="preserve">SS</t>
  </si>
  <si>
    <t xml:space="preserve">5.1</t>
  </si>
  <si>
    <t xml:space="preserve">Pencatatan pesanan</t>
  </si>
  <si>
    <t xml:space="preserve">5.2</t>
  </si>
  <si>
    <t xml:space="preserve">Pencatatan stok</t>
  </si>
  <si>
    <t xml:space="preserve">5.3</t>
  </si>
  <si>
    <t xml:space="preserve">Penjualan dan ringkasan</t>
  </si>
  <si>
    <t xml:space="preserve">5.4</t>
  </si>
  <si>
    <t xml:space="preserve">Website pemesanan</t>
  </si>
  <si>
    <t xml:space="preserve">6.1</t>
  </si>
  <si>
    <t xml:space="preserve">Rencana uji</t>
  </si>
  <si>
    <t xml:space="preserve">6.2</t>
  </si>
  <si>
    <t xml:space="preserve">Pelaksanaan uji</t>
  </si>
  <si>
    <t xml:space="preserve">6.3</t>
  </si>
  <si>
    <t xml:space="preserve">Uji dengan Kak Linda</t>
  </si>
  <si>
    <t xml:space="preserve">6.4</t>
  </si>
  <si>
    <t xml:space="preserve">Perbaikan</t>
  </si>
  <si>
    <t xml:space="preserve">7.1</t>
  </si>
  <si>
    <t xml:space="preserve">Panduan pengguna</t>
  </si>
  <si>
    <t xml:space="preserve">7.2</t>
  </si>
  <si>
    <t xml:space="preserve">Laporan akhir</t>
  </si>
  <si>
    <t xml:space="preserve">7.3</t>
  </si>
  <si>
    <t xml:space="preserve">Bahan presentasi</t>
  </si>
  <si>
    <t xml:space="preserve">7.4</t>
  </si>
  <si>
    <t xml:space="preserve">Arsip repositori</t>
  </si>
  <si>
    <t xml:space="preserve">Milestone (tenggat)</t>
  </si>
  <si>
    <t xml:space="preserve">MS1</t>
  </si>
  <si>
    <t xml:space="preserve">Tahap 2 Project Planning dikumpulkan</t>
  </si>
  <si>
    <t xml:space="preserve">MS2</t>
  </si>
  <si>
    <t xml:space="preserve">Analisis dan perancangan selesai</t>
  </si>
  <si>
    <t xml:space="preserve">MS3</t>
  </si>
  <si>
    <t xml:space="preserve">Pengembangan dan pengujian selesai</t>
  </si>
  <si>
    <t xml:space="preserve">MS4</t>
  </si>
  <si>
    <t xml:space="preserve">Tenggat akhir proyek (penyerahan)</t>
  </si>
  <si>
    <t xml:space="preserve">Cek tenggat</t>
  </si>
  <si>
    <t xml:space="preserve">Milestone</t>
  </si>
  <si>
    <t xml:space="preserve">Hingga tahap</t>
  </si>
  <si>
    <t xml:space="preserve">Tenggat</t>
  </si>
  <si>
    <t xml:space="preserve">Selesai terakhir</t>
  </si>
  <si>
    <t xml:space="preserve">Selisih (hari)</t>
  </si>
  <si>
    <t xml:space="preserve">Resource &amp; Responsibility Plan</t>
  </si>
  <si>
    <t xml:space="preserve">Peran, tanggung jawab, matriks RACI, dan kebutuhan sumber daya</t>
  </si>
  <si>
    <t xml:space="preserve">No</t>
  </si>
  <si>
    <t xml:space="preserve">Anggota</t>
  </si>
  <si>
    <t xml:space="preserve">Peran utama</t>
  </si>
  <si>
    <t xml:space="preserve">Tanggung jawab</t>
  </si>
  <si>
    <t xml:space="preserve">Total manday</t>
  </si>
  <si>
    <t xml:space="preserve">Beban (%)</t>
  </si>
  <si>
    <t xml:space="preserve">Jumlah aktivitas</t>
  </si>
  <si>
    <t xml:space="preserve">Kode WBS</t>
  </si>
  <si>
    <t xml:space="preserve">Intan Fadila</t>
  </si>
  <si>
    <t xml:space="preserve">Mengukur ukuran pekerjaan, validasi dengan Kak Linda, rancangan data, pencatatan pesanan, perbaikan, arsip repositori</t>
  </si>
  <si>
    <t xml:space="preserve">1.1, 2.4, 3.2, 3.3, 4.2, 5.1, 6.2, 6.4, 7.4</t>
  </si>
  <si>
    <t xml:space="preserve">Fitri Nabila Suhendra</t>
  </si>
  <si>
    <t xml:space="preserve">Menyusun WBS dan jadwal, alur proses, pencatatan stok, rencana uji, laporan akhir</t>
  </si>
  <si>
    <t xml:space="preserve">1.1, 2.1, 2.2, 2.4, 4.1, 5.2, 6.1, 6.2, 7.2</t>
  </si>
  <si>
    <t xml:space="preserve">Chaira Syakira Lubis</t>
  </si>
  <si>
    <t xml:space="preserve">Pendaftaran Pemangku Kepentingan</t>
  </si>
  <si>
    <t xml:space="preserve">Stakeholder Register, biaya dan risiko, daftar kebutuhan, penjualan dan ringkasan, uji dengan Kak Linda, presentasi</t>
  </si>
  <si>
    <t xml:space="preserve">1.1, 1.4, 2.3, 2.4, 3.1, 5.3, 6.2, 6.3, 7.3</t>
  </si>
  <si>
    <t xml:space="preserve">Siti Najri Apriyanti</t>
  </si>
  <si>
    <t xml:space="preserve">Piagam Proyek</t>
  </si>
  <si>
    <t xml:space="preserve">Latar belakang dan ide, Project Charter, rancangan tampilan, website pemesanan, panduan pengguna</t>
  </si>
  <si>
    <t xml:space="preserve">1.1, 1.2, 1.3, 2.4, 4.3, 5.4, 6.2, 7.1</t>
  </si>
  <si>
    <t xml:space="preserve">TOTAL</t>
  </si>
  <si>
    <t xml:space="preserve">Cek total manday terhadap sheet Effort Manday (ketua kelompok: [ISI])</t>
  </si>
  <si>
    <t xml:space="preserve">Pihak lain</t>
  </si>
  <si>
    <t xml:space="preserve">Peran</t>
  </si>
  <si>
    <t xml:space="preserve">Keterlibatan</t>
  </si>
  <si>
    <t xml:space="preserve">Kak Linda</t>
  </si>
  <si>
    <t xml:space="preserve">Pemilik usaha, narasumber, pengguna utama</t>
  </si>
  <si>
    <t xml:space="preserve">Wawancara, validasi kebutuhan, uji coba (kode 1.1, 3.3, 6.3)</t>
  </si>
  <si>
    <t xml:space="preserve">Cut Alna</t>
  </si>
  <si>
    <t xml:space="preserve">Dosen penilai</t>
  </si>
  <si>
    <t xml:space="preserve">Konsultasi dan penilaian tiap tahap</t>
  </si>
  <si>
    <t xml:space="preserve">Matriks RACI per tahap (R = mengerjakan, A = bertanggung jawab akhir, C = diajak berkonsultasi, I = diberi tahu). Penentuan A bisa disesuaikan dengan ketua [ISI].</t>
  </si>
  <si>
    <t xml:space="preserve">Nama tahap</t>
  </si>
  <si>
    <t xml:space="preserve">Intan</t>
  </si>
  <si>
    <t xml:space="preserve">Fitri</t>
  </si>
  <si>
    <t xml:space="preserve">Chaira</t>
  </si>
  <si>
    <t xml:space="preserve">Siti</t>
  </si>
  <si>
    <t xml:space="preserve">Dosen</t>
  </si>
  <si>
    <t xml:space="preserve">Inisiasi</t>
  </si>
  <si>
    <t xml:space="preserve">R</t>
  </si>
  <si>
    <t xml:space="preserve">A/R</t>
  </si>
  <si>
    <t xml:space="preserve">C</t>
  </si>
  <si>
    <t xml:space="preserve">I</t>
  </si>
  <si>
    <t xml:space="preserve">Perencanaan</t>
  </si>
  <si>
    <t xml:space="preserve">Analisis Kebutuhan</t>
  </si>
  <si>
    <t xml:space="preserve">Perancangan</t>
  </si>
  <si>
    <t xml:space="preserve">Pengembangan</t>
  </si>
  <si>
    <t xml:space="preserve">Pengujian</t>
  </si>
  <si>
    <t xml:space="preserve">Dokumentasi</t>
  </si>
  <si>
    <t xml:space="preserve">Sumber daya</t>
  </si>
  <si>
    <t xml:space="preserve">Jumlah</t>
  </si>
  <si>
    <t xml:space="preserve">Satuan</t>
  </si>
  <si>
    <t xml:space="preserve">Sumber / keterangan</t>
  </si>
  <si>
    <t xml:space="preserve">Laptop anggota</t>
  </si>
  <si>
    <t xml:space="preserve">unit</t>
  </si>
  <si>
    <t xml:space="preserve">Milik pribadi (nonkas)</t>
  </si>
  <si>
    <t xml:space="preserve">Koneksi internet</t>
  </si>
  <si>
    <t xml:space="preserve">anggota</t>
  </si>
  <si>
    <t xml:space="preserve">Paket data pribadi, ditanggung tunai bila perlu</t>
  </si>
  <si>
    <t xml:space="preserve">Akun GitHub</t>
  </si>
  <si>
    <t xml:space="preserve">akun</t>
  </si>
  <si>
    <t xml:space="preserve">Paket gratis</t>
  </si>
  <si>
    <t xml:space="preserve">Repositori GitHub dan GitHub Pages</t>
  </si>
  <si>
    <t xml:space="preserve">repositori</t>
  </si>
  <si>
    <t xml:space="preserve">Waktu Kak Linda untuk wawancara dan uji</t>
  </si>
  <si>
    <t xml:space="preserve">pertemuan</t>
  </si>
  <si>
    <t xml:space="preserve">Perkiraan: wawancara, validasi, uji, serah. [ISI jadwal]</t>
  </si>
  <si>
    <t xml:space="preserve">Lembar kerja jadwal dan biaya (Excel)</t>
  </si>
  <si>
    <t xml:space="preserve">berkas</t>
  </si>
  <si>
    <t xml:space="preserve">File ini</t>
  </si>
  <si>
    <t xml:space="preserve">Effort Estimation (Manday) - PERT tiga titik</t>
  </si>
  <si>
    <t xml:space="preserve">E = (O + 4M + P) / 6 | Durasi = ROUNDUP(E / jumlah orang) | O, M, P dan penugasan adalah ASUMSI kelompok (sel biru)</t>
  </si>
  <si>
    <t xml:space="preserve">O (optimis)</t>
  </si>
  <si>
    <t xml:space="preserve">M (paling mungkin)</t>
  </si>
  <si>
    <t xml:space="preserve">P (pesimis)</t>
  </si>
  <si>
    <t xml:space="preserve">E (manday)</t>
  </si>
  <si>
    <t xml:space="preserve">Simpangan baku</t>
  </si>
  <si>
    <t xml:space="preserve">Durasi (hari kerja)</t>
  </si>
  <si>
    <t xml:space="preserve">Manday Intan</t>
  </si>
  <si>
    <t xml:space="preserve">Manday Fitri</t>
  </si>
  <si>
    <t xml:space="preserve">Manday Chaira</t>
  </si>
  <si>
    <t xml:space="preserve">Manday Siti</t>
  </si>
  <si>
    <t xml:space="preserve">Ringkasan per tahap</t>
  </si>
  <si>
    <t xml:space="preserve">Kolom Intan/Fitri/Chaira/Siti: 1 = ikut mengerjakan. Manday dibagi rata ke semua yang ikut. Total tahap harus sama dengan total manday.</t>
  </si>
  <si>
    <t xml:space="preserve">Project Cost Estimation</t>
  </si>
  <si>
    <t xml:space="preserve">Tenaga kerja dihitung sebagai nilai setara (nonkas). Pengeluaran tunai dipisahkan. Harga satuan adalah ASUMSI (sel biru).</t>
  </si>
  <si>
    <t xml:space="preserve">Komponen</t>
  </si>
  <si>
    <t xml:space="preserve">Kategori</t>
  </si>
  <si>
    <t xml:space="preserve">Jenis</t>
  </si>
  <si>
    <t xml:space="preserve">Harga satuan (Rp)</t>
  </si>
  <si>
    <t xml:space="preserve">Total (Rp)</t>
  </si>
  <si>
    <t xml:space="preserve">Tenaga kerja - Intan Fadila</t>
  </si>
  <si>
    <t xml:space="preserve">Tenaga kerja</t>
  </si>
  <si>
    <t xml:space="preserve">Nonkas</t>
  </si>
  <si>
    <t xml:space="preserve">manday</t>
  </si>
  <si>
    <t xml:space="preserve">Manday dari sheet Effort</t>
  </si>
  <si>
    <t xml:space="preserve">Tenaga kerja - Fitri Nabila Suhendra</t>
  </si>
  <si>
    <t xml:space="preserve">Tenaga kerja - Chaira Syakira Lubis</t>
  </si>
  <si>
    <t xml:space="preserve">Tenaga kerja - Siti Najri Apriyanti</t>
  </si>
  <si>
    <t xml:space="preserve">Laptop anggota (milik pribadi)</t>
  </si>
  <si>
    <t xml:space="preserve">Perangkat</t>
  </si>
  <si>
    <t xml:space="preserve">unit-bulan</t>
  </si>
  <si>
    <t xml:space="preserve">ASUMSI nilai pakai</t>
  </si>
  <si>
    <t xml:space="preserve">Paket internet</t>
  </si>
  <si>
    <t xml:space="preserve">Layanan</t>
  </si>
  <si>
    <t xml:space="preserve">Tunai</t>
  </si>
  <si>
    <t xml:space="preserve">anggota-bulan</t>
  </si>
  <si>
    <t xml:space="preserve">ASUMSI tambahan paket data</t>
  </si>
  <si>
    <t xml:space="preserve">Akun GitHub (paket gratis)</t>
  </si>
  <si>
    <t xml:space="preserve">Gratis</t>
  </si>
  <si>
    <t xml:space="preserve">GitHub Pages (hosting statis)</t>
  </si>
  <si>
    <t xml:space="preserve">layanan</t>
  </si>
  <si>
    <t xml:space="preserve">Transportasi ke tempat usaha</t>
  </si>
  <si>
    <t xml:space="preserve">Lainnya</t>
  </si>
  <si>
    <t xml:space="preserve">orang-kunjungan</t>
  </si>
  <si>
    <t xml:space="preserve">ASUMSI 4 kunjungan x 2 orang</t>
  </si>
  <si>
    <t xml:space="preserve">Pembelian produk saat observasi</t>
  </si>
  <si>
    <t xml:space="preserve">kali</t>
  </si>
  <si>
    <t xml:space="preserve">ASUMSI</t>
  </si>
  <si>
    <t xml:space="preserve">Cetak dan penjilidan laporan</t>
  </si>
  <si>
    <t xml:space="preserve">set</t>
  </si>
  <si>
    <t xml:space="preserve">Overhead (listrik dan tempat belajar)</t>
  </si>
  <si>
    <t xml:space="preserve">Overhead</t>
  </si>
  <si>
    <t xml:space="preserve">dari tenaga kerja</t>
  </si>
  <si>
    <t xml:space="preserve">Persen dari subtotal tenaga kerja</t>
  </si>
  <si>
    <t xml:space="preserve">Subtotal tunai</t>
  </si>
  <si>
    <t xml:space="preserve">Subtotal nonkas</t>
  </si>
  <si>
    <t xml:space="preserve">Subtotal biaya langsung dan overhead</t>
  </si>
  <si>
    <t xml:space="preserve">Cadangan tunai</t>
  </si>
  <si>
    <t xml:space="preserve">Cadangan nonkas</t>
  </si>
  <si>
    <t xml:space="preserve">TOTAL TUNAI (dengan cadangan)</t>
  </si>
  <si>
    <t xml:space="preserve">TOTAL NONKAS (dengan cadangan)</t>
  </si>
  <si>
    <t xml:space="preserve">Pengeluaran tunai yang harus disiapkan</t>
  </si>
  <si>
    <t xml:space="preserve">TOTAL KESELURUHAN (dengan cadangan)</t>
  </si>
  <si>
    <t xml:space="preserve">Cek: total manday x tarif = subtotal tenaga kerja</t>
  </si>
  <si>
    <t xml:space="preserve">Risk Register</t>
  </si>
  <si>
    <t xml:space="preserve">Skala 1-5 | Skor = Probabilitas x Dampak | 15 ke atas Tinggi, 8-14 Sedang, di bawah 8 Rendah | P dan D adalah ASUMSI (sel biru)</t>
  </si>
  <si>
    <t xml:space="preserve">Risiko</t>
  </si>
  <si>
    <t xml:space="preserve">Probabilitas (1-5)</t>
  </si>
  <si>
    <t xml:space="preserve">Dampak (1-5)</t>
  </si>
  <si>
    <t xml:space="preserve">Skor</t>
  </si>
  <si>
    <t xml:space="preserve">Level</t>
  </si>
  <si>
    <t xml:space="preserve">Strategi</t>
  </si>
  <si>
    <t xml:space="preserve">Mitigasi</t>
  </si>
  <si>
    <t xml:space="preserve">Pemilik</t>
  </si>
  <si>
    <t xml:space="preserve">Pemicu</t>
  </si>
  <si>
    <t xml:space="preserve">R1</t>
  </si>
  <si>
    <t xml:space="preserve">Data wawancara terbatas, kebutuhan Kak Linda salah dipahami</t>
  </si>
  <si>
    <t xml:space="preserve">Kebutuhan</t>
  </si>
  <si>
    <t xml:space="preserve">Kurangi</t>
  </si>
  <si>
    <t xml:space="preserve">Jadwalkan wawancara lanjutan, siapkan daftar pertanyaan, catat hasil di dokumen 01</t>
  </si>
  <si>
    <t xml:space="preserve">Tabel wawancara masih banyak [ISI] saat analisis kebutuhan dimulai</t>
  </si>
  <si>
    <t xml:space="preserve">Terbuka</t>
  </si>
  <si>
    <t xml:space="preserve">R2</t>
  </si>
  <si>
    <t xml:space="preserve">Kak Linda sulit ditemui atau waktunya terbatas</t>
  </si>
  <si>
    <t xml:space="preserve">Pihak luar</t>
  </si>
  <si>
    <t xml:space="preserve">Buat janji sejak awal, siapkan pertemuan singkat, cadangan lewat pesan</t>
  </si>
  <si>
    <t xml:space="preserve">Janji temu batal dua kali berturut-turut</t>
  </si>
  <si>
    <t xml:space="preserve">R3</t>
  </si>
  <si>
    <t xml:space="preserve">Pengguna belum terbiasa memakai perangkat digital</t>
  </si>
  <si>
    <t xml:space="preserve">Pengguna</t>
  </si>
  <si>
    <t xml:space="preserve">Rancangan sederhana, uji coba didampingi, panduan bergambar</t>
  </si>
  <si>
    <t xml:space="preserve">Kak Linda kesulitan mencatat satu pesanan saat uji coba</t>
  </si>
  <si>
    <t xml:space="preserve">R4</t>
  </si>
  <si>
    <t xml:space="preserve">Arti digital twin belum disepakati dengan dosen</t>
  </si>
  <si>
    <t xml:space="preserve">Ruang lingkup</t>
  </si>
  <si>
    <t xml:space="preserve">Hindari</t>
  </si>
  <si>
    <t xml:space="preserve">Konsultasi dengan Cut Alna, tulis definisi di Project Charter</t>
  </si>
  <si>
    <t xml:space="preserve">Dosen meminta ruang lingkup berbeda dari Charter</t>
  </si>
  <si>
    <t xml:space="preserve">R5</t>
  </si>
  <si>
    <t xml:space="preserve">Anggota hanya 4 orang, beban tiap orang berat</t>
  </si>
  <si>
    <t xml:space="preserve">Pembagian tugas jelas di WBS, pantau mingguan, batasi ruang lingkup</t>
  </si>
  <si>
    <t xml:space="preserve">Tugas terlambat lebih dari 2 hari kerja</t>
  </si>
  <si>
    <t xml:space="preserve">R6</t>
  </si>
  <si>
    <t xml:space="preserve">Jadwal bentrok dengan kuliah atau ujian lain</t>
  </si>
  <si>
    <t xml:space="preserve">Jadwal</t>
  </si>
  <si>
    <t xml:space="preserve">Pakai cadangan waktu menuju tenggat, kerjakan tugas paralel</t>
  </si>
  <si>
    <t xml:space="preserve">Jadwal ujian diumumkan pada rentang pengerjaan</t>
  </si>
  <si>
    <t xml:space="preserve">R7</t>
  </si>
  <si>
    <t xml:space="preserve">Ruang lingkup berubah di tengah jalan</t>
  </si>
  <si>
    <t xml:space="preserve">Persetujuan tertulis ruang lingkup, catat setiap perubahan</t>
  </si>
  <si>
    <t xml:space="preserve">Ada permintaan fitur baru setelah analisis kebutuhan</t>
  </si>
  <si>
    <t xml:space="preserve">R8</t>
  </si>
  <si>
    <t xml:space="preserve">Anggota berhalangan (sakit atau urusan lain)</t>
  </si>
  <si>
    <t xml:space="preserve">Tugas cadangan antaranggota, semua pekerjaan disimpan di GitHub</t>
  </si>
  <si>
    <t xml:space="preserve">Anggota tidak aktif lebih dari 3 hari kerja</t>
  </si>
  <si>
    <t xml:space="preserve">R9</t>
  </si>
  <si>
    <t xml:space="preserve">File bentrok atau hilang di GitHub</t>
  </si>
  <si>
    <t xml:space="preserve">Teknis</t>
  </si>
  <si>
    <t xml:space="preserve">Branch per tugas, Pull Request, aturan kerja di dokumen 05</t>
  </si>
  <si>
    <t xml:space="preserve">Konflik merge muncul berulang</t>
  </si>
  <si>
    <t xml:space="preserve">R10</t>
  </si>
  <si>
    <t xml:space="preserve">Biaya tunai melebihi rencana</t>
  </si>
  <si>
    <t xml:space="preserve">Biaya</t>
  </si>
  <si>
    <t xml:space="preserve">Terima</t>
  </si>
  <si>
    <t xml:space="preserve">Pakai layanan gratis, ada cadangan 10%</t>
  </si>
  <si>
    <t xml:space="preserve">Pengeluaran tunai melampaui total tunai di sheet Biaya</t>
  </si>
  <si>
    <t xml:space="preserve">Peta risiko (jumlah risiko per sel)</t>
  </si>
  <si>
    <t xml:space="preserve">Dampak \ Probabilitas</t>
  </si>
  <si>
    <t xml:space="preserve">Total risiko</t>
  </si>
  <si>
    <t xml:space="preserve">Harus sama dengan jumlah baris risiko (10).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</si>
</sst>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 mmm\ yyyy"/>
    <numFmt numFmtId="166" formatCode="0"/>
    <numFmt numFmtId="167" formatCode="#,##0;\(#,##0\);\-"/>
    <numFmt numFmtId="168" formatCode="0.0%"/>
    <numFmt numFmtId="169" formatCode="0.0"/>
    <numFmt numFmtId="170" formatCode="General"/>
    <numFmt numFmtId="171" formatCode="dd/mm"/>
    <numFmt numFmtId="172" formatCode="0.00"/>
    <numFmt numFmtId="173" formatCode="0.00;;\-"/>
    <numFmt numFmtId="174" formatCode="#,##0.0"/>
    <numFmt numFmtId="175" formatCode="#,##0"/>
    <numFmt numFmtId="176" formatCode="0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32A1A"/>
      <name val="Arial"/>
      <family val="0"/>
      <charset val="1"/>
    </font>
    <font>
      <i val="true"/>
      <sz val="10"/>
      <color rgb="FF7A3D0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8"/>
      <color rgb="FF7A3D0C"/>
      <name val="Arial"/>
      <family val="0"/>
      <charset val="1"/>
    </font>
    <font>
      <b val="true"/>
      <sz val="10"/>
      <color rgb="FFFFD166"/>
      <name val="Arial"/>
      <family val="0"/>
      <charset val="1"/>
    </font>
    <font>
      <b val="true"/>
      <sz val="8"/>
      <color rgb="FFFFD166"/>
      <name val="Arial"/>
      <family val="0"/>
      <charset val="1"/>
    </font>
    <font>
      <sz val="10"/>
      <color rgb="FF7A3D0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6E3B4"/>
        <bgColor rgb="FFFFE699"/>
      </patternFill>
    </fill>
    <fill>
      <patternFill patternType="solid">
        <fgColor rgb="FFDDEBF7"/>
        <bgColor rgb="FFCCFFFF"/>
      </patternFill>
    </fill>
    <fill>
      <patternFill patternType="solid">
        <fgColor rgb="FF3B1D08"/>
        <bgColor rgb="FF5A2B0E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6E3B4"/>
      </patternFill>
    </fill>
    <fill>
      <patternFill patternType="solid">
        <fgColor rgb="FFF8CBAD"/>
        <bgColor rgb="FFF8D7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A36A"/>
      </left>
      <right style="thin">
        <color rgb="FFC9A36A"/>
      </right>
      <top style="thin">
        <color rgb="FFC9A36A"/>
      </top>
      <bottom style="thin">
        <color rgb="FFC9A3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4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FFB938"/>
        </patternFill>
      </fill>
    </dxf>
    <dxf>
      <fill>
        <patternFill>
          <bgColor rgb="FFFF9A2E"/>
        </patternFill>
      </fill>
    </dxf>
    <dxf>
      <fill>
        <patternFill>
          <bgColor rgb="FFE8742A"/>
        </patternFill>
      </fill>
    </dxf>
    <dxf>
      <fill>
        <patternFill>
          <bgColor rgb="FFD4502A"/>
        </patternFill>
      </fill>
    </dxf>
    <dxf>
      <fill>
        <patternFill>
          <bgColor rgb="FFB32A1A"/>
        </patternFill>
      </fill>
    </dxf>
    <dxf>
      <fill>
        <patternFill>
          <bgColor rgb="FF8A4510"/>
        </patternFill>
      </fill>
    </dxf>
    <dxf>
      <fill>
        <patternFill>
          <bgColor rgb="FF5A2B0E"/>
        </patternFill>
      </fill>
    </dxf>
    <dxf>
      <fill>
        <patternFill>
          <bgColor rgb="FF1A0D05"/>
        </patternFill>
      </fill>
    </dxf>
    <dxf>
      <fill>
        <patternFill>
          <bgColor rgb="FFF8D7D0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4502A"/>
      <rgbColor rgb="FF800080"/>
      <rgbColor rgb="FF008080"/>
      <rgbColor rgb="FFFFD166"/>
      <rgbColor rgb="FF808080"/>
      <rgbColor rgb="FF9999FF"/>
      <rgbColor rgb="FFB32A1A"/>
      <rgbColor rgb="FFF6E3B4"/>
      <rgbColor rgb="FFDDEBF7"/>
      <rgbColor rgb="FF660066"/>
      <rgbColor rgb="FFE09A1F"/>
      <rgbColor rgb="FF0066CC"/>
      <rgbColor rgb="FFF8D7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B938"/>
      <rgbColor rgb="FFFF9A2E"/>
      <rgbColor rgb="FFE8742A"/>
      <rgbColor rgb="FF666699"/>
      <rgbColor rgb="FFC9A36A"/>
      <rgbColor rgb="FF003366"/>
      <rgbColor rgb="FF339966"/>
      <rgbColor rgb="FF1A0D05"/>
      <rgbColor rgb="FF3B1D08"/>
      <rgbColor rgb="FF8A4510"/>
      <rgbColor rgb="FF7A3D0C"/>
      <rgbColor rgb="FF333399"/>
      <rgbColor rgb="FF5A2B0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A1A"/>
    <pageSetUpPr fitToPage="fals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3" t="s">
        <v>4</v>
      </c>
      <c r="C5" s="4" t="s">
        <v>5</v>
      </c>
    </row>
    <row r="6" customFormat="false" ht="15" hidden="false" customHeight="false" outlineLevel="0" collapsed="false">
      <c r="B6" s="3" t="s">
        <v>6</v>
      </c>
      <c r="C6" s="4" t="s">
        <v>7</v>
      </c>
    </row>
    <row r="8" customFormat="false" ht="15" hidden="false" customHeight="false" outlineLevel="0" collapsed="false">
      <c r="B8" s="3" t="s">
        <v>8</v>
      </c>
      <c r="C8" s="5" t="s">
        <v>9</v>
      </c>
      <c r="D8" s="3" t="s">
        <v>10</v>
      </c>
    </row>
    <row r="9" customFormat="false" ht="15" hidden="false" customHeight="false" outlineLevel="0" collapsed="false">
      <c r="B9" s="4" t="s">
        <v>11</v>
      </c>
      <c r="C9" s="6" t="n">
        <v>46300</v>
      </c>
      <c r="D9" s="4" t="s">
        <v>12</v>
      </c>
    </row>
    <row r="10" customFormat="false" ht="15" hidden="false" customHeight="false" outlineLevel="0" collapsed="false">
      <c r="B10" s="4" t="s">
        <v>13</v>
      </c>
      <c r="C10" s="6" t="n">
        <v>46319</v>
      </c>
      <c r="D10" s="4" t="s">
        <v>14</v>
      </c>
    </row>
    <row r="11" customFormat="false" ht="15" hidden="false" customHeight="false" outlineLevel="0" collapsed="false">
      <c r="B11" s="4" t="s">
        <v>15</v>
      </c>
      <c r="C11" s="6" t="n">
        <v>46374</v>
      </c>
      <c r="D11" s="4" t="s">
        <v>16</v>
      </c>
    </row>
    <row r="12" customFormat="false" ht="15" hidden="false" customHeight="false" outlineLevel="0" collapsed="false">
      <c r="B12" s="4" t="s">
        <v>17</v>
      </c>
      <c r="C12" s="7" t="n">
        <v>4</v>
      </c>
      <c r="D12" s="4" t="s">
        <v>18</v>
      </c>
    </row>
    <row r="13" customFormat="false" ht="15" hidden="false" customHeight="false" outlineLevel="0" collapsed="false">
      <c r="B13" s="4" t="s">
        <v>19</v>
      </c>
      <c r="C13" s="8" t="n">
        <v>75000</v>
      </c>
      <c r="D13" s="4" t="s">
        <v>20</v>
      </c>
    </row>
    <row r="14" customFormat="false" ht="15" hidden="false" customHeight="false" outlineLevel="0" collapsed="false">
      <c r="B14" s="4" t="s">
        <v>21</v>
      </c>
      <c r="C14" s="9" t="n">
        <v>0.05</v>
      </c>
      <c r="D14" s="4" t="s">
        <v>22</v>
      </c>
    </row>
    <row r="15" customFormat="false" ht="15" hidden="false" customHeight="false" outlineLevel="0" collapsed="false">
      <c r="B15" s="4" t="s">
        <v>23</v>
      </c>
      <c r="C15" s="9" t="n">
        <v>0.1</v>
      </c>
      <c r="D15" s="4" t="s">
        <v>24</v>
      </c>
    </row>
    <row r="16" customFormat="false" ht="15" hidden="false" customHeight="false" outlineLevel="0" collapsed="false">
      <c r="B16" s="4" t="s">
        <v>25</v>
      </c>
      <c r="C16" s="10" t="n">
        <f aca="false">ROUNDUP((Tenggat_Akhir-Mulai_Proyek)/30,0)</f>
        <v>3</v>
      </c>
      <c r="D16" s="4" t="s">
        <v>26</v>
      </c>
    </row>
    <row r="18" customFormat="false" ht="15" hidden="false" customHeight="false" outlineLevel="0" collapsed="false">
      <c r="B18" s="3" t="s">
        <v>27</v>
      </c>
      <c r="C18" s="5" t="s">
        <v>28</v>
      </c>
      <c r="D18" s="3" t="s">
        <v>29</v>
      </c>
    </row>
    <row r="19" customFormat="false" ht="15" hidden="false" customHeight="false" outlineLevel="0" collapsed="false">
      <c r="B19" s="4" t="s">
        <v>30</v>
      </c>
      <c r="C19" s="6" t="n">
        <v>46381</v>
      </c>
      <c r="D19" s="4" t="s">
        <v>31</v>
      </c>
    </row>
    <row r="20" customFormat="false" ht="15" hidden="false" customHeight="false" outlineLevel="0" collapsed="false">
      <c r="B20" s="4" t="s">
        <v>32</v>
      </c>
      <c r="C20" s="6" t="n">
        <v>46388</v>
      </c>
      <c r="D20" s="4" t="s">
        <v>33</v>
      </c>
    </row>
    <row r="21" customFormat="false" ht="15" hidden="false" customHeight="false" outlineLevel="0" collapsed="false">
      <c r="B21" s="4" t="s">
        <v>34</v>
      </c>
      <c r="C21" s="6"/>
      <c r="D21" s="4" t="s">
        <v>35</v>
      </c>
    </row>
    <row r="22" customFormat="false" ht="15" hidden="false" customHeight="false" outlineLevel="0" collapsed="false">
      <c r="B22" s="4" t="s">
        <v>36</v>
      </c>
      <c r="C22" s="6"/>
      <c r="D22" s="4" t="s">
        <v>37</v>
      </c>
    </row>
    <row r="24" customFormat="false" ht="15" hidden="false" customHeight="false" outlineLevel="0" collapsed="false">
      <c r="B24" s="3" t="s">
        <v>38</v>
      </c>
      <c r="C24" s="5" t="s">
        <v>39</v>
      </c>
      <c r="D24" s="3" t="s">
        <v>29</v>
      </c>
    </row>
    <row r="25" customFormat="false" ht="15" hidden="false" customHeight="false" outlineLevel="0" collapsed="false">
      <c r="B25" s="4" t="s">
        <v>40</v>
      </c>
      <c r="C25" s="11" t="n">
        <f aca="false">MAX('Jadwal Gantt'!K6:K31)</f>
        <v>46367</v>
      </c>
      <c r="D25" s="4" t="s">
        <v>41</v>
      </c>
    </row>
    <row r="26" customFormat="false" ht="15" hidden="false" customHeight="false" outlineLevel="0" collapsed="false">
      <c r="B26" s="4" t="s">
        <v>42</v>
      </c>
      <c r="C26" s="12" t="str">
        <f aca="false">IF(C25&lt;=Tenggat_Akhir,"YA","TIDAK")</f>
        <v>YA</v>
      </c>
      <c r="D26" s="4"/>
    </row>
    <row r="27" customFormat="false" ht="15" hidden="false" customHeight="false" outlineLevel="0" collapsed="false">
      <c r="B27" s="4" t="s">
        <v>43</v>
      </c>
      <c r="C27" s="13" t="n">
        <f aca="false">'Effort Manday'!G32</f>
        <v>83.6666666666667</v>
      </c>
      <c r="D27" s="4" t="s">
        <v>44</v>
      </c>
    </row>
    <row r="28" customFormat="false" ht="15" hidden="false" customHeight="false" outlineLevel="0" collapsed="false">
      <c r="B28" s="4" t="s">
        <v>45</v>
      </c>
      <c r="C28" s="14" t="n">
        <f aca="false">Biaya!H29</f>
        <v>8419125</v>
      </c>
      <c r="D28" s="4" t="s">
        <v>46</v>
      </c>
    </row>
    <row r="29" customFormat="false" ht="15" hidden="false" customHeight="false" outlineLevel="0" collapsed="false">
      <c r="B29" s="4" t="s">
        <v>47</v>
      </c>
      <c r="C29" s="15" t="n">
        <f aca="false">COUNTIF('Risk Register'!G6:G15,"Tinggi")</f>
        <v>2</v>
      </c>
      <c r="D29" s="4" t="s">
        <v>48</v>
      </c>
    </row>
    <row r="31" customFormat="false" ht="15" hidden="false" customHeight="false" outlineLevel="0" collapsed="false">
      <c r="B31" s="1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9A1F"/>
    <pageSetUpPr fitToPage="false"/>
  </sheetPr>
  <dimension ref="A1:CR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5" topLeftCell="M6" activePane="bottomRight" state="frozen"/>
      <selection pane="topLeft" activeCell="A1" activeCellId="0" sqref="A1"/>
      <selection pane="topRight" activeCell="M1" activeCellId="0" sqref="M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9" min="8" style="0" width="7"/>
    <col collapsed="false" customWidth="true" hidden="false" outlineLevel="0" max="11" min="10" style="0" width="13"/>
    <col collapsed="false" customWidth="true" hidden="false" outlineLevel="0" max="12" min="12" style="0" width="24"/>
    <col collapsed="false" customWidth="true" hidden="false" outlineLevel="0" max="96" min="13" style="0" width="2.7"/>
  </cols>
  <sheetData>
    <row r="1" customFormat="false" ht="19.7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M4" s="17" t="str">
        <f aca="false">TEXT(M5,"mmm yy")</f>
        <v>Oct 26</v>
      </c>
      <c r="N4" s="17" t="str">
        <f aca="false">IF(MONTH(N5)&lt;&gt;MONTH(M5),TEXT(N5,"mmm yy"),"")</f>
        <v/>
      </c>
      <c r="O4" s="17" t="str">
        <f aca="false">IF(MONTH(O5)&lt;&gt;MONTH(N5),TEXT(O5,"mmm yy"),"")</f>
        <v/>
      </c>
      <c r="P4" s="17" t="str">
        <f aca="false">IF(MONTH(P5)&lt;&gt;MONTH(O5),TEXT(P5,"mmm yy"),"")</f>
        <v/>
      </c>
      <c r="Q4" s="17" t="str">
        <f aca="false">IF(MONTH(Q5)&lt;&gt;MONTH(P5),TEXT(Q5,"mmm yy"),"")</f>
        <v/>
      </c>
      <c r="R4" s="17" t="str">
        <f aca="false">IF(MONTH(R5)&lt;&gt;MONTH(Q5),TEXT(R5,"mmm yy"),"")</f>
        <v/>
      </c>
      <c r="S4" s="17" t="str">
        <f aca="false">IF(MONTH(S5)&lt;&gt;MONTH(R5),TEXT(S5,"mmm yy"),"")</f>
        <v/>
      </c>
      <c r="T4" s="17" t="str">
        <f aca="false">IF(MONTH(T5)&lt;&gt;MONTH(S5),TEXT(T5,"mmm yy"),"")</f>
        <v/>
      </c>
      <c r="U4" s="17" t="str">
        <f aca="false">IF(MONTH(U5)&lt;&gt;MONTH(T5),TEXT(U5,"mmm yy"),"")</f>
        <v/>
      </c>
      <c r="V4" s="17" t="str">
        <f aca="false">IF(MONTH(V5)&lt;&gt;MONTH(U5),TEXT(V5,"mmm yy"),"")</f>
        <v/>
      </c>
      <c r="W4" s="17" t="str">
        <f aca="false">IF(MONTH(W5)&lt;&gt;MONTH(V5),TEXT(W5,"mmm yy"),"")</f>
        <v/>
      </c>
      <c r="X4" s="17" t="str">
        <f aca="false">IF(MONTH(X5)&lt;&gt;MONTH(W5),TEXT(X5,"mmm yy"),"")</f>
        <v/>
      </c>
      <c r="Y4" s="17" t="str">
        <f aca="false">IF(MONTH(Y5)&lt;&gt;MONTH(X5),TEXT(Y5,"mmm yy"),"")</f>
        <v/>
      </c>
      <c r="Z4" s="17" t="str">
        <f aca="false">IF(MONTH(Z5)&lt;&gt;MONTH(Y5),TEXT(Z5,"mmm yy"),"")</f>
        <v/>
      </c>
      <c r="AA4" s="17" t="str">
        <f aca="false">IF(MONTH(AA5)&lt;&gt;MONTH(Z5),TEXT(AA5,"mmm yy"),"")</f>
        <v/>
      </c>
      <c r="AB4" s="17" t="str">
        <f aca="false">IF(MONTH(AB5)&lt;&gt;MONTH(AA5),TEXT(AB5,"mmm yy"),"")</f>
        <v/>
      </c>
      <c r="AC4" s="17" t="str">
        <f aca="false">IF(MONTH(AC5)&lt;&gt;MONTH(AB5),TEXT(AC5,"mmm yy"),"")</f>
        <v/>
      </c>
      <c r="AD4" s="17" t="str">
        <f aca="false">IF(MONTH(AD5)&lt;&gt;MONTH(AC5),TEXT(AD5,"mmm yy"),"")</f>
        <v/>
      </c>
      <c r="AE4" s="17" t="str">
        <f aca="false">IF(MONTH(AE5)&lt;&gt;MONTH(AD5),TEXT(AE5,"mmm yy"),"")</f>
        <v/>
      </c>
      <c r="AF4" s="17" t="str">
        <f aca="false">IF(MONTH(AF5)&lt;&gt;MONTH(AE5),TEXT(AF5,"mmm yy"),"")</f>
        <v/>
      </c>
      <c r="AG4" s="17" t="str">
        <f aca="false">IF(MONTH(AG5)&lt;&gt;MONTH(AF5),TEXT(AG5,"mmm yy"),"")</f>
        <v>Nov 26</v>
      </c>
      <c r="AH4" s="17" t="str">
        <f aca="false">IF(MONTH(AH5)&lt;&gt;MONTH(AG5),TEXT(AH5,"mmm yy"),"")</f>
        <v/>
      </c>
      <c r="AI4" s="17" t="str">
        <f aca="false">IF(MONTH(AI5)&lt;&gt;MONTH(AH5),TEXT(AI5,"mmm yy"),"")</f>
        <v/>
      </c>
      <c r="AJ4" s="17" t="str">
        <f aca="false">IF(MONTH(AJ5)&lt;&gt;MONTH(AI5),TEXT(AJ5,"mmm yy"),"")</f>
        <v/>
      </c>
      <c r="AK4" s="17" t="str">
        <f aca="false">IF(MONTH(AK5)&lt;&gt;MONTH(AJ5),TEXT(AK5,"mmm yy"),"")</f>
        <v/>
      </c>
      <c r="AL4" s="17" t="str">
        <f aca="false">IF(MONTH(AL5)&lt;&gt;MONTH(AK5),TEXT(AL5,"mmm yy"),"")</f>
        <v/>
      </c>
      <c r="AM4" s="17" t="str">
        <f aca="false">IF(MONTH(AM5)&lt;&gt;MONTH(AL5),TEXT(AM5,"mmm yy"),"")</f>
        <v/>
      </c>
      <c r="AN4" s="17" t="str">
        <f aca="false">IF(MONTH(AN5)&lt;&gt;MONTH(AM5),TEXT(AN5,"mmm yy"),"")</f>
        <v/>
      </c>
      <c r="AO4" s="17" t="str">
        <f aca="false">IF(MONTH(AO5)&lt;&gt;MONTH(AN5),TEXT(AO5,"mmm yy"),"")</f>
        <v/>
      </c>
      <c r="AP4" s="17" t="str">
        <f aca="false">IF(MONTH(AP5)&lt;&gt;MONTH(AO5),TEXT(AP5,"mmm yy"),"")</f>
        <v/>
      </c>
      <c r="AQ4" s="17" t="str">
        <f aca="false">IF(MONTH(AQ5)&lt;&gt;MONTH(AP5),TEXT(AQ5,"mmm yy"),"")</f>
        <v/>
      </c>
      <c r="AR4" s="17" t="str">
        <f aca="false">IF(MONTH(AR5)&lt;&gt;MONTH(AQ5),TEXT(AR5,"mmm yy"),"")</f>
        <v/>
      </c>
      <c r="AS4" s="17" t="str">
        <f aca="false">IF(MONTH(AS5)&lt;&gt;MONTH(AR5),TEXT(AS5,"mmm yy"),"")</f>
        <v/>
      </c>
      <c r="AT4" s="17" t="str">
        <f aca="false">IF(MONTH(AT5)&lt;&gt;MONTH(AS5),TEXT(AT5,"mmm yy"),"")</f>
        <v/>
      </c>
      <c r="AU4" s="17" t="str">
        <f aca="false">IF(MONTH(AU5)&lt;&gt;MONTH(AT5),TEXT(AU5,"mmm yy"),"")</f>
        <v/>
      </c>
      <c r="AV4" s="17" t="str">
        <f aca="false">IF(MONTH(AV5)&lt;&gt;MONTH(AU5),TEXT(AV5,"mmm yy"),"")</f>
        <v/>
      </c>
      <c r="AW4" s="17" t="str">
        <f aca="false">IF(MONTH(AW5)&lt;&gt;MONTH(AV5),TEXT(AW5,"mmm yy"),"")</f>
        <v/>
      </c>
      <c r="AX4" s="17" t="str">
        <f aca="false">IF(MONTH(AX5)&lt;&gt;MONTH(AW5),TEXT(AX5,"mmm yy"),"")</f>
        <v/>
      </c>
      <c r="AY4" s="17" t="str">
        <f aca="false">IF(MONTH(AY5)&lt;&gt;MONTH(AX5),TEXT(AY5,"mmm yy"),"")</f>
        <v/>
      </c>
      <c r="AZ4" s="17" t="str">
        <f aca="false">IF(MONTH(AZ5)&lt;&gt;MONTH(AY5),TEXT(AZ5,"mmm yy"),"")</f>
        <v/>
      </c>
      <c r="BA4" s="17" t="str">
        <f aca="false">IF(MONTH(BA5)&lt;&gt;MONTH(AZ5),TEXT(BA5,"mmm yy"),"")</f>
        <v/>
      </c>
      <c r="BB4" s="17" t="str">
        <f aca="false">IF(MONTH(BB5)&lt;&gt;MONTH(BA5),TEXT(BB5,"mmm yy"),"")</f>
        <v>Dec 26</v>
      </c>
      <c r="BC4" s="17" t="str">
        <f aca="false">IF(MONTH(BC5)&lt;&gt;MONTH(BB5),TEXT(BC5,"mmm yy"),"")</f>
        <v/>
      </c>
      <c r="BD4" s="17" t="str">
        <f aca="false">IF(MONTH(BD5)&lt;&gt;MONTH(BC5),TEXT(BD5,"mmm yy"),"")</f>
        <v/>
      </c>
      <c r="BE4" s="17" t="str">
        <f aca="false">IF(MONTH(BE5)&lt;&gt;MONTH(BD5),TEXT(BE5,"mmm yy"),"")</f>
        <v/>
      </c>
      <c r="BF4" s="17" t="str">
        <f aca="false">IF(MONTH(BF5)&lt;&gt;MONTH(BE5),TEXT(BF5,"mmm yy"),"")</f>
        <v/>
      </c>
      <c r="BG4" s="17" t="str">
        <f aca="false">IF(MONTH(BG5)&lt;&gt;MONTH(BF5),TEXT(BG5,"mmm yy"),"")</f>
        <v/>
      </c>
      <c r="BH4" s="17" t="str">
        <f aca="false">IF(MONTH(BH5)&lt;&gt;MONTH(BG5),TEXT(BH5,"mmm yy"),"")</f>
        <v/>
      </c>
      <c r="BI4" s="17" t="str">
        <f aca="false">IF(MONTH(BI5)&lt;&gt;MONTH(BH5),TEXT(BI5,"mmm yy"),"")</f>
        <v/>
      </c>
      <c r="BJ4" s="17" t="str">
        <f aca="false">IF(MONTH(BJ5)&lt;&gt;MONTH(BI5),TEXT(BJ5,"mmm yy"),"")</f>
        <v/>
      </c>
      <c r="BK4" s="17" t="str">
        <f aca="false">IF(MONTH(BK5)&lt;&gt;MONTH(BJ5),TEXT(BK5,"mmm yy"),"")</f>
        <v/>
      </c>
      <c r="BL4" s="17" t="str">
        <f aca="false">IF(MONTH(BL5)&lt;&gt;MONTH(BK5),TEXT(BL5,"mmm yy"),"")</f>
        <v/>
      </c>
      <c r="BM4" s="17" t="str">
        <f aca="false">IF(MONTH(BM5)&lt;&gt;MONTH(BL5),TEXT(BM5,"mmm yy"),"")</f>
        <v/>
      </c>
      <c r="BN4" s="17" t="str">
        <f aca="false">IF(MONTH(BN5)&lt;&gt;MONTH(BM5),TEXT(BN5,"mmm yy"),"")</f>
        <v/>
      </c>
      <c r="BO4" s="17" t="str">
        <f aca="false">IF(MONTH(BO5)&lt;&gt;MONTH(BN5),TEXT(BO5,"mmm yy"),"")</f>
        <v/>
      </c>
      <c r="BP4" s="17" t="str">
        <f aca="false">IF(MONTH(BP5)&lt;&gt;MONTH(BO5),TEXT(BP5,"mmm yy"),"")</f>
        <v/>
      </c>
      <c r="BQ4" s="17" t="str">
        <f aca="false">IF(MONTH(BQ5)&lt;&gt;MONTH(BP5),TEXT(BQ5,"mmm yy"),"")</f>
        <v/>
      </c>
      <c r="BR4" s="17" t="str">
        <f aca="false">IF(MONTH(BR5)&lt;&gt;MONTH(BQ5),TEXT(BR5,"mmm yy"),"")</f>
        <v/>
      </c>
      <c r="BS4" s="17" t="str">
        <f aca="false">IF(MONTH(BS5)&lt;&gt;MONTH(BR5),TEXT(BS5,"mmm yy"),"")</f>
        <v/>
      </c>
      <c r="BT4" s="17" t="str">
        <f aca="false">IF(MONTH(BT5)&lt;&gt;MONTH(BS5),TEXT(BT5,"mmm yy"),"")</f>
        <v/>
      </c>
      <c r="BU4" s="17" t="str">
        <f aca="false">IF(MONTH(BU5)&lt;&gt;MONTH(BT5),TEXT(BU5,"mmm yy"),"")</f>
        <v/>
      </c>
      <c r="BV4" s="17" t="str">
        <f aca="false">IF(MONTH(BV5)&lt;&gt;MONTH(BU5),TEXT(BV5,"mmm yy"),"")</f>
        <v/>
      </c>
      <c r="BW4" s="17" t="str">
        <f aca="false">IF(MONTH(BW5)&lt;&gt;MONTH(BV5),TEXT(BW5,"mmm yy"),"")</f>
        <v/>
      </c>
      <c r="BX4" s="17" t="str">
        <f aca="false">IF(MONTH(BX5)&lt;&gt;MONTH(BW5),TEXT(BX5,"mmm yy"),"")</f>
        <v>Jan 27</v>
      </c>
      <c r="BY4" s="17" t="str">
        <f aca="false">IF(MONTH(BY5)&lt;&gt;MONTH(BX5),TEXT(BY5,"mmm yy"),"")</f>
        <v/>
      </c>
      <c r="BZ4" s="17" t="str">
        <f aca="false">IF(MONTH(BZ5)&lt;&gt;MONTH(BY5),TEXT(BZ5,"mmm yy"),"")</f>
        <v/>
      </c>
      <c r="CA4" s="17" t="str">
        <f aca="false">IF(MONTH(CA5)&lt;&gt;MONTH(BZ5),TEXT(CA5,"mmm yy"),"")</f>
        <v/>
      </c>
      <c r="CB4" s="17" t="str">
        <f aca="false">IF(MONTH(CB5)&lt;&gt;MONTH(CA5),TEXT(CB5,"mmm yy"),"")</f>
        <v/>
      </c>
      <c r="CC4" s="17" t="str">
        <f aca="false">IF(MONTH(CC5)&lt;&gt;MONTH(CB5),TEXT(CC5,"mmm yy"),"")</f>
        <v/>
      </c>
      <c r="CD4" s="17" t="str">
        <f aca="false">IF(MONTH(CD5)&lt;&gt;MONTH(CC5),TEXT(CD5,"mmm yy"),"")</f>
        <v/>
      </c>
      <c r="CE4" s="17" t="str">
        <f aca="false">IF(MONTH(CE5)&lt;&gt;MONTH(CD5),TEXT(CE5,"mmm yy"),"")</f>
        <v/>
      </c>
      <c r="CF4" s="17" t="str">
        <f aca="false">IF(MONTH(CF5)&lt;&gt;MONTH(CE5),TEXT(CF5,"mmm yy"),"")</f>
        <v/>
      </c>
      <c r="CG4" s="17" t="str">
        <f aca="false">IF(MONTH(CG5)&lt;&gt;MONTH(CF5),TEXT(CG5,"mmm yy"),"")</f>
        <v/>
      </c>
      <c r="CH4" s="17" t="str">
        <f aca="false">IF(MONTH(CH5)&lt;&gt;MONTH(CG5),TEXT(CH5,"mmm yy"),"")</f>
        <v/>
      </c>
      <c r="CI4" s="17" t="str">
        <f aca="false">IF(MONTH(CI5)&lt;&gt;MONTH(CH5),TEXT(CI5,"mmm yy"),"")</f>
        <v/>
      </c>
      <c r="CJ4" s="17" t="str">
        <f aca="false">IF(MONTH(CJ5)&lt;&gt;MONTH(CI5),TEXT(CJ5,"mmm yy"),"")</f>
        <v/>
      </c>
      <c r="CK4" s="17" t="str">
        <f aca="false">IF(MONTH(CK5)&lt;&gt;MONTH(CJ5),TEXT(CK5,"mmm yy"),"")</f>
        <v/>
      </c>
      <c r="CL4" s="17" t="str">
        <f aca="false">IF(MONTH(CL5)&lt;&gt;MONTH(CK5),TEXT(CL5,"mmm yy"),"")</f>
        <v/>
      </c>
      <c r="CM4" s="17" t="str">
        <f aca="false">IF(MONTH(CM5)&lt;&gt;MONTH(CL5),TEXT(CM5,"mmm yy"),"")</f>
        <v/>
      </c>
      <c r="CN4" s="17" t="str">
        <f aca="false">IF(MONTH(CN5)&lt;&gt;MONTH(CM5),TEXT(CN5,"mmm yy"),"")</f>
        <v/>
      </c>
      <c r="CO4" s="17" t="str">
        <f aca="false">IF(MONTH(CO5)&lt;&gt;MONTH(CN5),TEXT(CO5,"mmm yy"),"")</f>
        <v/>
      </c>
      <c r="CP4" s="17" t="str">
        <f aca="false">IF(MONTH(CP5)&lt;&gt;MONTH(CO5),TEXT(CP5,"mmm yy"),"")</f>
        <v/>
      </c>
      <c r="CQ4" s="17" t="str">
        <f aca="false">IF(MONTH(CQ5)&lt;&gt;MONTH(CP5),TEXT(CQ5,"mmm yy"),"")</f>
        <v/>
      </c>
      <c r="CR4" s="17" t="str">
        <f aca="false">IF(MONTH(CR5)&lt;&gt;MONTH(CQ5),TEXT(CR5,"mmm yy"),"")</f>
        <v>Feb 27</v>
      </c>
    </row>
    <row r="5" customFormat="false" ht="39.75" hidden="false" customHeight="true" outlineLevel="0" collapsed="false">
      <c r="A5" s="18" t="s">
        <v>52</v>
      </c>
      <c r="B5" s="18" t="s">
        <v>53</v>
      </c>
      <c r="C5" s="18" t="s">
        <v>54</v>
      </c>
      <c r="D5" s="18" t="s">
        <v>55</v>
      </c>
      <c r="E5" s="18" t="s">
        <v>56</v>
      </c>
      <c r="F5" s="18" t="s">
        <v>57</v>
      </c>
      <c r="G5" s="18" t="s">
        <v>58</v>
      </c>
      <c r="H5" s="18" t="s">
        <v>59</v>
      </c>
      <c r="I5" s="18" t="s">
        <v>60</v>
      </c>
      <c r="J5" s="18" t="s">
        <v>61</v>
      </c>
      <c r="K5" s="18" t="s">
        <v>62</v>
      </c>
      <c r="L5" s="18" t="s">
        <v>63</v>
      </c>
      <c r="M5" s="19" t="n">
        <f aca="false">WORKDAY(Mulai_Proyek-1,1,Libur)</f>
        <v>46300</v>
      </c>
      <c r="N5" s="19" t="n">
        <f aca="false">WORKDAY(M5,1,Libur)</f>
        <v>46301</v>
      </c>
      <c r="O5" s="19" t="n">
        <f aca="false">WORKDAY(N5,1,Libur)</f>
        <v>46302</v>
      </c>
      <c r="P5" s="19" t="n">
        <f aca="false">WORKDAY(O5,1,Libur)</f>
        <v>46303</v>
      </c>
      <c r="Q5" s="19" t="n">
        <f aca="false">WORKDAY(P5,1,Libur)</f>
        <v>46304</v>
      </c>
      <c r="R5" s="19" t="n">
        <f aca="false">WORKDAY(Q5,1,Libur)</f>
        <v>46307</v>
      </c>
      <c r="S5" s="19" t="n">
        <f aca="false">WORKDAY(R5,1,Libur)</f>
        <v>46308</v>
      </c>
      <c r="T5" s="19" t="n">
        <f aca="false">WORKDAY(S5,1,Libur)</f>
        <v>46309</v>
      </c>
      <c r="U5" s="19" t="n">
        <f aca="false">WORKDAY(T5,1,Libur)</f>
        <v>46310</v>
      </c>
      <c r="V5" s="19" t="n">
        <f aca="false">WORKDAY(U5,1,Libur)</f>
        <v>46311</v>
      </c>
      <c r="W5" s="19" t="n">
        <f aca="false">WORKDAY(V5,1,Libur)</f>
        <v>46314</v>
      </c>
      <c r="X5" s="19" t="n">
        <f aca="false">WORKDAY(W5,1,Libur)</f>
        <v>46315</v>
      </c>
      <c r="Y5" s="19" t="n">
        <f aca="false">WORKDAY(X5,1,Libur)</f>
        <v>46316</v>
      </c>
      <c r="Z5" s="19" t="n">
        <f aca="false">WORKDAY(Y5,1,Libur)</f>
        <v>46317</v>
      </c>
      <c r="AA5" s="19" t="n">
        <f aca="false">WORKDAY(Z5,1,Libur)</f>
        <v>46318</v>
      </c>
      <c r="AB5" s="19" t="n">
        <f aca="false">WORKDAY(AA5,1,Libur)</f>
        <v>46321</v>
      </c>
      <c r="AC5" s="19" t="n">
        <f aca="false">WORKDAY(AB5,1,Libur)</f>
        <v>46322</v>
      </c>
      <c r="AD5" s="19" t="n">
        <f aca="false">WORKDAY(AC5,1,Libur)</f>
        <v>46323</v>
      </c>
      <c r="AE5" s="19" t="n">
        <f aca="false">WORKDAY(AD5,1,Libur)</f>
        <v>46324</v>
      </c>
      <c r="AF5" s="19" t="n">
        <f aca="false">WORKDAY(AE5,1,Libur)</f>
        <v>46325</v>
      </c>
      <c r="AG5" s="19" t="n">
        <f aca="false">WORKDAY(AF5,1,Libur)</f>
        <v>46328</v>
      </c>
      <c r="AH5" s="19" t="n">
        <f aca="false">WORKDAY(AG5,1,Libur)</f>
        <v>46329</v>
      </c>
      <c r="AI5" s="19" t="n">
        <f aca="false">WORKDAY(AH5,1,Libur)</f>
        <v>46330</v>
      </c>
      <c r="AJ5" s="19" t="n">
        <f aca="false">WORKDAY(AI5,1,Libur)</f>
        <v>46331</v>
      </c>
      <c r="AK5" s="19" t="n">
        <f aca="false">WORKDAY(AJ5,1,Libur)</f>
        <v>46332</v>
      </c>
      <c r="AL5" s="19" t="n">
        <f aca="false">WORKDAY(AK5,1,Libur)</f>
        <v>46335</v>
      </c>
      <c r="AM5" s="19" t="n">
        <f aca="false">WORKDAY(AL5,1,Libur)</f>
        <v>46336</v>
      </c>
      <c r="AN5" s="19" t="n">
        <f aca="false">WORKDAY(AM5,1,Libur)</f>
        <v>46337</v>
      </c>
      <c r="AO5" s="19" t="n">
        <f aca="false">WORKDAY(AN5,1,Libur)</f>
        <v>46338</v>
      </c>
      <c r="AP5" s="19" t="n">
        <f aca="false">WORKDAY(AO5,1,Libur)</f>
        <v>46339</v>
      </c>
      <c r="AQ5" s="19" t="n">
        <f aca="false">WORKDAY(AP5,1,Libur)</f>
        <v>46342</v>
      </c>
      <c r="AR5" s="19" t="n">
        <f aca="false">WORKDAY(AQ5,1,Libur)</f>
        <v>46343</v>
      </c>
      <c r="AS5" s="19" t="n">
        <f aca="false">WORKDAY(AR5,1,Libur)</f>
        <v>46344</v>
      </c>
      <c r="AT5" s="19" t="n">
        <f aca="false">WORKDAY(AS5,1,Libur)</f>
        <v>46345</v>
      </c>
      <c r="AU5" s="19" t="n">
        <f aca="false">WORKDAY(AT5,1,Libur)</f>
        <v>46346</v>
      </c>
      <c r="AV5" s="19" t="n">
        <f aca="false">WORKDAY(AU5,1,Libur)</f>
        <v>46349</v>
      </c>
      <c r="AW5" s="19" t="n">
        <f aca="false">WORKDAY(AV5,1,Libur)</f>
        <v>46350</v>
      </c>
      <c r="AX5" s="19" t="n">
        <f aca="false">WORKDAY(AW5,1,Libur)</f>
        <v>46351</v>
      </c>
      <c r="AY5" s="19" t="n">
        <f aca="false">WORKDAY(AX5,1,Libur)</f>
        <v>46352</v>
      </c>
      <c r="AZ5" s="19" t="n">
        <f aca="false">WORKDAY(AY5,1,Libur)</f>
        <v>46353</v>
      </c>
      <c r="BA5" s="19" t="n">
        <f aca="false">WORKDAY(AZ5,1,Libur)</f>
        <v>46356</v>
      </c>
      <c r="BB5" s="19" t="n">
        <f aca="false">WORKDAY(BA5,1,Libur)</f>
        <v>46357</v>
      </c>
      <c r="BC5" s="19" t="n">
        <f aca="false">WORKDAY(BB5,1,Libur)</f>
        <v>46358</v>
      </c>
      <c r="BD5" s="19" t="n">
        <f aca="false">WORKDAY(BC5,1,Libur)</f>
        <v>46359</v>
      </c>
      <c r="BE5" s="19" t="n">
        <f aca="false">WORKDAY(BD5,1,Libur)</f>
        <v>46360</v>
      </c>
      <c r="BF5" s="19" t="n">
        <f aca="false">WORKDAY(BE5,1,Libur)</f>
        <v>46363</v>
      </c>
      <c r="BG5" s="19" t="n">
        <f aca="false">WORKDAY(BF5,1,Libur)</f>
        <v>46364</v>
      </c>
      <c r="BH5" s="19" t="n">
        <f aca="false">WORKDAY(BG5,1,Libur)</f>
        <v>46365</v>
      </c>
      <c r="BI5" s="19" t="n">
        <f aca="false">WORKDAY(BH5,1,Libur)</f>
        <v>46366</v>
      </c>
      <c r="BJ5" s="19" t="n">
        <f aca="false">WORKDAY(BI5,1,Libur)</f>
        <v>46367</v>
      </c>
      <c r="BK5" s="19" t="n">
        <f aca="false">WORKDAY(BJ5,1,Libur)</f>
        <v>46370</v>
      </c>
      <c r="BL5" s="19" t="n">
        <f aca="false">WORKDAY(BK5,1,Libur)</f>
        <v>46371</v>
      </c>
      <c r="BM5" s="19" t="n">
        <f aca="false">WORKDAY(BL5,1,Libur)</f>
        <v>46372</v>
      </c>
      <c r="BN5" s="19" t="n">
        <f aca="false">WORKDAY(BM5,1,Libur)</f>
        <v>46373</v>
      </c>
      <c r="BO5" s="19" t="n">
        <f aca="false">WORKDAY(BN5,1,Libur)</f>
        <v>46374</v>
      </c>
      <c r="BP5" s="19" t="n">
        <f aca="false">WORKDAY(BO5,1,Libur)</f>
        <v>46377</v>
      </c>
      <c r="BQ5" s="19" t="n">
        <f aca="false">WORKDAY(BP5,1,Libur)</f>
        <v>46378</v>
      </c>
      <c r="BR5" s="19" t="n">
        <f aca="false">WORKDAY(BQ5,1,Libur)</f>
        <v>46379</v>
      </c>
      <c r="BS5" s="19" t="n">
        <f aca="false">WORKDAY(BR5,1,Libur)</f>
        <v>46380</v>
      </c>
      <c r="BT5" s="19" t="n">
        <f aca="false">WORKDAY(BS5,1,Libur)</f>
        <v>46384</v>
      </c>
      <c r="BU5" s="19" t="n">
        <f aca="false">WORKDAY(BT5,1,Libur)</f>
        <v>46385</v>
      </c>
      <c r="BV5" s="19" t="n">
        <f aca="false">WORKDAY(BU5,1,Libur)</f>
        <v>46386</v>
      </c>
      <c r="BW5" s="19" t="n">
        <f aca="false">WORKDAY(BV5,1,Libur)</f>
        <v>46387</v>
      </c>
      <c r="BX5" s="19" t="n">
        <f aca="false">WORKDAY(BW5,1,Libur)</f>
        <v>46391</v>
      </c>
      <c r="BY5" s="19" t="n">
        <f aca="false">WORKDAY(BX5,1,Libur)</f>
        <v>46392</v>
      </c>
      <c r="BZ5" s="19" t="n">
        <f aca="false">WORKDAY(BY5,1,Libur)</f>
        <v>46393</v>
      </c>
      <c r="CA5" s="19" t="n">
        <f aca="false">WORKDAY(BZ5,1,Libur)</f>
        <v>46394</v>
      </c>
      <c r="CB5" s="19" t="n">
        <f aca="false">WORKDAY(CA5,1,Libur)</f>
        <v>46395</v>
      </c>
      <c r="CC5" s="19" t="n">
        <f aca="false">WORKDAY(CB5,1,Libur)</f>
        <v>46398</v>
      </c>
      <c r="CD5" s="19" t="n">
        <f aca="false">WORKDAY(CC5,1,Libur)</f>
        <v>46399</v>
      </c>
      <c r="CE5" s="19" t="n">
        <f aca="false">WORKDAY(CD5,1,Libur)</f>
        <v>46400</v>
      </c>
      <c r="CF5" s="19" t="n">
        <f aca="false">WORKDAY(CE5,1,Libur)</f>
        <v>46401</v>
      </c>
      <c r="CG5" s="19" t="n">
        <f aca="false">WORKDAY(CF5,1,Libur)</f>
        <v>46402</v>
      </c>
      <c r="CH5" s="19" t="n">
        <f aca="false">WORKDAY(CG5,1,Libur)</f>
        <v>46405</v>
      </c>
      <c r="CI5" s="19" t="n">
        <f aca="false">WORKDAY(CH5,1,Libur)</f>
        <v>46406</v>
      </c>
      <c r="CJ5" s="19" t="n">
        <f aca="false">WORKDAY(CI5,1,Libur)</f>
        <v>46407</v>
      </c>
      <c r="CK5" s="19" t="n">
        <f aca="false">WORKDAY(CJ5,1,Libur)</f>
        <v>46408</v>
      </c>
      <c r="CL5" s="19" t="n">
        <f aca="false">WORKDAY(CK5,1,Libur)</f>
        <v>46409</v>
      </c>
      <c r="CM5" s="19" t="n">
        <f aca="false">WORKDAY(CL5,1,Libur)</f>
        <v>46412</v>
      </c>
      <c r="CN5" s="19" t="n">
        <f aca="false">WORKDAY(CM5,1,Libur)</f>
        <v>46413</v>
      </c>
      <c r="CO5" s="19" t="n">
        <f aca="false">WORKDAY(CN5,1,Libur)</f>
        <v>46414</v>
      </c>
      <c r="CP5" s="19" t="n">
        <f aca="false">WORKDAY(CO5,1,Libur)</f>
        <v>46415</v>
      </c>
      <c r="CQ5" s="19" t="n">
        <f aca="false">WORKDAY(CP5,1,Libur)</f>
        <v>46416</v>
      </c>
      <c r="CR5" s="19" t="n">
        <f aca="false">WORKDAY(CQ5,1,Libur)</f>
        <v>46419</v>
      </c>
    </row>
    <row r="6" customFormat="false" ht="15" hidden="false" customHeight="false" outlineLevel="0" collapsed="false">
      <c r="A6" s="20" t="s">
        <v>64</v>
      </c>
      <c r="B6" s="4" t="s">
        <v>65</v>
      </c>
      <c r="C6" s="20" t="n">
        <v>1</v>
      </c>
      <c r="D6" s="21" t="str">
        <f aca="false">TRIM(IF('Effort Manday'!I6=1,"Intan ","")&amp;IF('Effort Manday'!J6=1,"Fitri ","")&amp;IF('Effort Manday'!K6=1,"Chaira ","")&amp;IF('Effort Manday'!L6=1,"Siti ",""))</f>
        <v>Intan Fitri Chaira Siti</v>
      </c>
      <c r="E6" s="13" t="n">
        <f aca="false">'Effort Manday'!G6</f>
        <v>4.16666666666667</v>
      </c>
      <c r="F6" s="22" t="n">
        <f aca="false">'Effort Manday'!M6</f>
        <v>4</v>
      </c>
      <c r="G6" s="22" t="n">
        <f aca="false">'Effort Manday'!N6</f>
        <v>2</v>
      </c>
      <c r="H6" s="23"/>
      <c r="I6" s="23"/>
      <c r="J6" s="24" t="n">
        <f aca="false">IF(H6="",WORKDAY(Mulai_Proyek-1,1,Libur),IF(I6="SS",INDEX($J$6:$J$31,MATCH(H6,$A$6:$A$31,0)),WORKDAY(INDEX($K$6:$K$31,MATCH(H6,$A$6:$A$31,0)),1,Libur)))</f>
        <v>46300</v>
      </c>
      <c r="K6" s="24" t="n">
        <f aca="false">WORKDAY(J6,G6-1,Libur)</f>
        <v>46301</v>
      </c>
      <c r="L6" s="25" t="s">
        <v>66</v>
      </c>
    </row>
    <row r="7" customFormat="false" ht="15" hidden="false" customHeight="false" outlineLevel="0" collapsed="false">
      <c r="A7" s="20" t="s">
        <v>67</v>
      </c>
      <c r="B7" s="4" t="s">
        <v>68</v>
      </c>
      <c r="C7" s="20" t="n">
        <v>1</v>
      </c>
      <c r="D7" s="21" t="str">
        <f aca="false">TRIM(IF('Effort Manday'!I7=1,"Intan ","")&amp;IF('Effort Manday'!J7=1,"Fitri ","")&amp;IF('Effort Manday'!K7=1,"Chaira ","")&amp;IF('Effort Manday'!L7=1,"Siti ",""))</f>
        <v>Siti</v>
      </c>
      <c r="E7" s="13" t="n">
        <f aca="false">'Effort Manday'!G7</f>
        <v>1.58333333333333</v>
      </c>
      <c r="F7" s="22" t="n">
        <f aca="false">'Effort Manday'!M7</f>
        <v>1</v>
      </c>
      <c r="G7" s="22" t="n">
        <f aca="false">'Effort Manday'!N7</f>
        <v>2</v>
      </c>
      <c r="H7" s="23" t="s">
        <v>64</v>
      </c>
      <c r="I7" s="23" t="s">
        <v>69</v>
      </c>
      <c r="J7" s="24" t="n">
        <f aca="false">IF(H7="",WORKDAY(Mulai_Proyek-1,1,Libur),IF(I7="SS",INDEX($J$6:$J$31,MATCH(H7,$A$6:$A$31,0)),WORKDAY(INDEX($K$6:$K$31,MATCH(H7,$A$6:$A$31,0)),1,Libur)))</f>
        <v>46302</v>
      </c>
      <c r="K7" s="24" t="n">
        <f aca="false">WORKDAY(J7,G7-1,Libur)</f>
        <v>46303</v>
      </c>
      <c r="L7" s="25" t="s">
        <v>70</v>
      </c>
    </row>
    <row r="8" customFormat="false" ht="15" hidden="false" customHeight="false" outlineLevel="0" collapsed="false">
      <c r="A8" s="20" t="s">
        <v>71</v>
      </c>
      <c r="B8" s="4" t="s">
        <v>72</v>
      </c>
      <c r="C8" s="20" t="n">
        <v>1</v>
      </c>
      <c r="D8" s="21" t="str">
        <f aca="false">TRIM(IF('Effort Manday'!I8=1,"Intan ","")&amp;IF('Effort Manday'!J8=1,"Fitri ","")&amp;IF('Effort Manday'!K8=1,"Chaira ","")&amp;IF('Effort Manday'!L8=1,"Siti ",""))</f>
        <v>Siti</v>
      </c>
      <c r="E8" s="13" t="n">
        <f aca="false">'Effort Manday'!G8</f>
        <v>1.58333333333333</v>
      </c>
      <c r="F8" s="22" t="n">
        <f aca="false">'Effort Manday'!M8</f>
        <v>1</v>
      </c>
      <c r="G8" s="22" t="n">
        <f aca="false">'Effort Manday'!N8</f>
        <v>2</v>
      </c>
      <c r="H8" s="23" t="s">
        <v>67</v>
      </c>
      <c r="I8" s="23" t="s">
        <v>69</v>
      </c>
      <c r="J8" s="24" t="n">
        <f aca="false">IF(H8="",WORKDAY(Mulai_Proyek-1,1,Libur),IF(I8="SS",INDEX($J$6:$J$31,MATCH(H8,$A$6:$A$31,0)),WORKDAY(INDEX($K$6:$K$31,MATCH(H8,$A$6:$A$31,0)),1,Libur)))</f>
        <v>46304</v>
      </c>
      <c r="K8" s="24" t="n">
        <f aca="false">WORKDAY(J8,G8-1,Libur)</f>
        <v>46307</v>
      </c>
      <c r="L8" s="25" t="s">
        <v>70</v>
      </c>
    </row>
    <row r="9" customFormat="false" ht="15" hidden="false" customHeight="false" outlineLevel="0" collapsed="false">
      <c r="A9" s="20" t="s">
        <v>73</v>
      </c>
      <c r="B9" s="4" t="s">
        <v>74</v>
      </c>
      <c r="C9" s="20" t="n">
        <v>1</v>
      </c>
      <c r="D9" s="21" t="str">
        <f aca="false">TRIM(IF('Effort Manday'!I9=1,"Intan ","")&amp;IF('Effort Manday'!J9=1,"Fitri ","")&amp;IF('Effort Manday'!K9=1,"Chaira ","")&amp;IF('Effort Manday'!L9=1,"Siti ",""))</f>
        <v>Chaira</v>
      </c>
      <c r="E9" s="13" t="n">
        <f aca="false">'Effort Manday'!G9</f>
        <v>1.66666666666667</v>
      </c>
      <c r="F9" s="22" t="n">
        <f aca="false">'Effort Manday'!M9</f>
        <v>1</v>
      </c>
      <c r="G9" s="22" t="n">
        <f aca="false">'Effort Manday'!N9</f>
        <v>2</v>
      </c>
      <c r="H9" s="23" t="s">
        <v>67</v>
      </c>
      <c r="I9" s="23" t="s">
        <v>69</v>
      </c>
      <c r="J9" s="24" t="n">
        <f aca="false">IF(H9="",WORKDAY(Mulai_Proyek-1,1,Libur),IF(I9="SS",INDEX($J$6:$J$31,MATCH(H9,$A$6:$A$31,0)),WORKDAY(INDEX($K$6:$K$31,MATCH(H9,$A$6:$A$31,0)),1,Libur)))</f>
        <v>46304</v>
      </c>
      <c r="K9" s="24" t="n">
        <f aca="false">WORKDAY(J9,G9-1,Libur)</f>
        <v>46307</v>
      </c>
      <c r="L9" s="25" t="s">
        <v>70</v>
      </c>
    </row>
    <row r="10" customFormat="false" ht="15" hidden="false" customHeight="false" outlineLevel="0" collapsed="false">
      <c r="A10" s="20" t="s">
        <v>75</v>
      </c>
      <c r="B10" s="4" t="s">
        <v>76</v>
      </c>
      <c r="C10" s="20" t="n">
        <v>2</v>
      </c>
      <c r="D10" s="21" t="str">
        <f aca="false">TRIM(IF('Effort Manday'!I10=1,"Intan ","")&amp;IF('Effort Manday'!J10=1,"Fitri ","")&amp;IF('Effort Manday'!K10=1,"Chaira ","")&amp;IF('Effort Manday'!L10=1,"Siti ",""))</f>
        <v>Fitri</v>
      </c>
      <c r="E10" s="13" t="n">
        <f aca="false">'Effort Manday'!G10</f>
        <v>1.58333333333333</v>
      </c>
      <c r="F10" s="22" t="n">
        <f aca="false">'Effort Manday'!M10</f>
        <v>1</v>
      </c>
      <c r="G10" s="22" t="n">
        <f aca="false">'Effort Manday'!N10</f>
        <v>2</v>
      </c>
      <c r="H10" s="23" t="s">
        <v>71</v>
      </c>
      <c r="I10" s="23" t="s">
        <v>69</v>
      </c>
      <c r="J10" s="24" t="n">
        <f aca="false">IF(H10="",WORKDAY(Mulai_Proyek-1,1,Libur),IF(I10="SS",INDEX($J$6:$J$31,MATCH(H10,$A$6:$A$31,0)),WORKDAY(INDEX($K$6:$K$31,MATCH(H10,$A$6:$A$31,0)),1,Libur)))</f>
        <v>46308</v>
      </c>
      <c r="K10" s="24" t="n">
        <f aca="false">WORKDAY(J10,G10-1,Libur)</f>
        <v>46309</v>
      </c>
      <c r="L10" s="25" t="s">
        <v>70</v>
      </c>
    </row>
    <row r="11" customFormat="false" ht="15" hidden="false" customHeight="false" outlineLevel="0" collapsed="false">
      <c r="A11" s="20" t="s">
        <v>77</v>
      </c>
      <c r="B11" s="4" t="s">
        <v>78</v>
      </c>
      <c r="C11" s="20" t="n">
        <v>2</v>
      </c>
      <c r="D11" s="21" t="str">
        <f aca="false">TRIM(IF('Effort Manday'!I11=1,"Intan ","")&amp;IF('Effort Manday'!J11=1,"Fitri ","")&amp;IF('Effort Manday'!K11=1,"Chaira ","")&amp;IF('Effort Manday'!L11=1,"Siti ",""))</f>
        <v>Fitri</v>
      </c>
      <c r="E11" s="13" t="n">
        <f aca="false">'Effort Manday'!G11</f>
        <v>3.16666666666667</v>
      </c>
      <c r="F11" s="22" t="n">
        <f aca="false">'Effort Manday'!M11</f>
        <v>1</v>
      </c>
      <c r="G11" s="22" t="n">
        <f aca="false">'Effort Manday'!N11</f>
        <v>4</v>
      </c>
      <c r="H11" s="23" t="s">
        <v>75</v>
      </c>
      <c r="I11" s="23" t="s">
        <v>69</v>
      </c>
      <c r="J11" s="24" t="n">
        <f aca="false">IF(H11="",WORKDAY(Mulai_Proyek-1,1,Libur),IF(I11="SS",INDEX($J$6:$J$31,MATCH(H11,$A$6:$A$31,0)),WORKDAY(INDEX($K$6:$K$31,MATCH(H11,$A$6:$A$31,0)),1,Libur)))</f>
        <v>46310</v>
      </c>
      <c r="K11" s="24" t="n">
        <f aca="false">WORKDAY(J11,G11-1,Libur)</f>
        <v>46315</v>
      </c>
      <c r="L11" s="25" t="s">
        <v>70</v>
      </c>
    </row>
    <row r="12" customFormat="false" ht="15" hidden="false" customHeight="false" outlineLevel="0" collapsed="false">
      <c r="A12" s="20" t="s">
        <v>79</v>
      </c>
      <c r="B12" s="4" t="s">
        <v>80</v>
      </c>
      <c r="C12" s="20" t="n">
        <v>2</v>
      </c>
      <c r="D12" s="21" t="str">
        <f aca="false">TRIM(IF('Effort Manday'!I12=1,"Intan ","")&amp;IF('Effort Manday'!J12=1,"Fitri ","")&amp;IF('Effort Manday'!K12=1,"Chaira ","")&amp;IF('Effort Manday'!L12=1,"Siti ",""))</f>
        <v>Chaira</v>
      </c>
      <c r="E12" s="13" t="n">
        <f aca="false">'Effort Manday'!G12</f>
        <v>3</v>
      </c>
      <c r="F12" s="22" t="n">
        <f aca="false">'Effort Manday'!M12</f>
        <v>1</v>
      </c>
      <c r="G12" s="22" t="n">
        <f aca="false">'Effort Manday'!N12</f>
        <v>3</v>
      </c>
      <c r="H12" s="23" t="s">
        <v>75</v>
      </c>
      <c r="I12" s="23" t="s">
        <v>69</v>
      </c>
      <c r="J12" s="24" t="n">
        <f aca="false">IF(H12="",WORKDAY(Mulai_Proyek-1,1,Libur),IF(I12="SS",INDEX($J$6:$J$31,MATCH(H12,$A$6:$A$31,0)),WORKDAY(INDEX($K$6:$K$31,MATCH(H12,$A$6:$A$31,0)),1,Libur)))</f>
        <v>46310</v>
      </c>
      <c r="K12" s="24" t="n">
        <f aca="false">WORKDAY(J12,G12-1,Libur)</f>
        <v>46314</v>
      </c>
      <c r="L12" s="25" t="s">
        <v>70</v>
      </c>
    </row>
    <row r="13" customFormat="false" ht="15" hidden="false" customHeight="false" outlineLevel="0" collapsed="false">
      <c r="A13" s="20" t="s">
        <v>81</v>
      </c>
      <c r="B13" s="4" t="s">
        <v>82</v>
      </c>
      <c r="C13" s="20" t="n">
        <v>2</v>
      </c>
      <c r="D13" s="21" t="str">
        <f aca="false">TRIM(IF('Effort Manday'!I13=1,"Intan ","")&amp;IF('Effort Manday'!J13=1,"Fitri ","")&amp;IF('Effort Manday'!K13=1,"Chaira ","")&amp;IF('Effort Manday'!L13=1,"Siti ",""))</f>
        <v>Intan Fitri Chaira Siti</v>
      </c>
      <c r="E13" s="13" t="n">
        <f aca="false">'Effort Manday'!G13</f>
        <v>1.08333333333333</v>
      </c>
      <c r="F13" s="22" t="n">
        <f aca="false">'Effort Manday'!M13</f>
        <v>4</v>
      </c>
      <c r="G13" s="22" t="n">
        <f aca="false">'Effort Manday'!N13</f>
        <v>1</v>
      </c>
      <c r="H13" s="23" t="s">
        <v>71</v>
      </c>
      <c r="I13" s="23" t="s">
        <v>69</v>
      </c>
      <c r="J13" s="24" t="n">
        <f aca="false">IF(H13="",WORKDAY(Mulai_Proyek-1,1,Libur),IF(I13="SS",INDEX($J$6:$J$31,MATCH(H13,$A$6:$A$31,0)),WORKDAY(INDEX($K$6:$K$31,MATCH(H13,$A$6:$A$31,0)),1,Libur)))</f>
        <v>46308</v>
      </c>
      <c r="K13" s="24" t="n">
        <f aca="false">WORKDAY(J13,G13-1,Libur)</f>
        <v>46308</v>
      </c>
      <c r="L13" s="25" t="s">
        <v>70</v>
      </c>
    </row>
    <row r="14" customFormat="false" ht="15" hidden="false" customHeight="false" outlineLevel="0" collapsed="false">
      <c r="A14" s="20" t="s">
        <v>83</v>
      </c>
      <c r="B14" s="4" t="s">
        <v>84</v>
      </c>
      <c r="C14" s="20" t="n">
        <v>3</v>
      </c>
      <c r="D14" s="21" t="str">
        <f aca="false">TRIM(IF('Effort Manday'!I14=1,"Intan ","")&amp;IF('Effort Manday'!J14=1,"Fitri ","")&amp;IF('Effort Manday'!K14=1,"Chaira ","")&amp;IF('Effort Manday'!L14=1,"Siti ",""))</f>
        <v>Chaira</v>
      </c>
      <c r="E14" s="13" t="n">
        <f aca="false">'Effort Manday'!G14</f>
        <v>3.16666666666667</v>
      </c>
      <c r="F14" s="22" t="n">
        <f aca="false">'Effort Manday'!M14</f>
        <v>1</v>
      </c>
      <c r="G14" s="22" t="n">
        <f aca="false">'Effort Manday'!N14</f>
        <v>4</v>
      </c>
      <c r="H14" s="23" t="s">
        <v>77</v>
      </c>
      <c r="I14" s="23" t="s">
        <v>69</v>
      </c>
      <c r="J14" s="24" t="n">
        <f aca="false">IF(H14="",WORKDAY(Mulai_Proyek-1,1,Libur),IF(I14="SS",INDEX($J$6:$J$31,MATCH(H14,$A$6:$A$31,0)),WORKDAY(INDEX($K$6:$K$31,MATCH(H14,$A$6:$A$31,0)),1,Libur)))</f>
        <v>46316</v>
      </c>
      <c r="K14" s="24" t="n">
        <f aca="false">WORKDAY(J14,G14-1,Libur)</f>
        <v>46321</v>
      </c>
      <c r="L14" s="25" t="s">
        <v>85</v>
      </c>
    </row>
    <row r="15" customFormat="false" ht="15" hidden="false" customHeight="false" outlineLevel="0" collapsed="false">
      <c r="A15" s="20" t="s">
        <v>86</v>
      </c>
      <c r="B15" s="4" t="s">
        <v>87</v>
      </c>
      <c r="C15" s="20" t="n">
        <v>3</v>
      </c>
      <c r="D15" s="21" t="str">
        <f aca="false">TRIM(IF('Effort Manday'!I15=1,"Intan ","")&amp;IF('Effort Manday'!J15=1,"Fitri ","")&amp;IF('Effort Manday'!K15=1,"Chaira ","")&amp;IF('Effort Manday'!L15=1,"Siti ",""))</f>
        <v>Intan</v>
      </c>
      <c r="E15" s="13" t="n">
        <f aca="false">'Effort Manday'!G15</f>
        <v>4.33333333333333</v>
      </c>
      <c r="F15" s="22" t="n">
        <f aca="false">'Effort Manday'!M15</f>
        <v>1</v>
      </c>
      <c r="G15" s="22" t="n">
        <f aca="false">'Effort Manday'!N15</f>
        <v>5</v>
      </c>
      <c r="H15" s="23" t="s">
        <v>83</v>
      </c>
      <c r="I15" s="23" t="s">
        <v>69</v>
      </c>
      <c r="J15" s="24" t="n">
        <f aca="false">IF(H15="",WORKDAY(Mulai_Proyek-1,1,Libur),IF(I15="SS",INDEX($J$6:$J$31,MATCH(H15,$A$6:$A$31,0)),WORKDAY(INDEX($K$6:$K$31,MATCH(H15,$A$6:$A$31,0)),1,Libur)))</f>
        <v>46322</v>
      </c>
      <c r="K15" s="24" t="n">
        <f aca="false">WORKDAY(J15,G15-1,Libur)</f>
        <v>46328</v>
      </c>
      <c r="L15" s="25" t="s">
        <v>85</v>
      </c>
    </row>
    <row r="16" customFormat="false" ht="15" hidden="false" customHeight="false" outlineLevel="0" collapsed="false">
      <c r="A16" s="20" t="s">
        <v>88</v>
      </c>
      <c r="B16" s="4" t="s">
        <v>89</v>
      </c>
      <c r="C16" s="20" t="n">
        <v>3</v>
      </c>
      <c r="D16" s="21" t="str">
        <f aca="false">TRIM(IF('Effort Manday'!I16=1,"Intan ","")&amp;IF('Effort Manday'!J16=1,"Fitri ","")&amp;IF('Effort Manday'!K16=1,"Chaira ","")&amp;IF('Effort Manday'!L16=1,"Siti ",""))</f>
        <v>Intan</v>
      </c>
      <c r="E16" s="13" t="n">
        <f aca="false">'Effort Manday'!G16</f>
        <v>2</v>
      </c>
      <c r="F16" s="22" t="n">
        <f aca="false">'Effort Manday'!M16</f>
        <v>1</v>
      </c>
      <c r="G16" s="22" t="n">
        <f aca="false">'Effort Manday'!N16</f>
        <v>2</v>
      </c>
      <c r="H16" s="23" t="s">
        <v>86</v>
      </c>
      <c r="I16" s="23" t="s">
        <v>69</v>
      </c>
      <c r="J16" s="24" t="n">
        <f aca="false">IF(H16="",WORKDAY(Mulai_Proyek-1,1,Libur),IF(I16="SS",INDEX($J$6:$J$31,MATCH(H16,$A$6:$A$31,0)),WORKDAY(INDEX($K$6:$K$31,MATCH(H16,$A$6:$A$31,0)),1,Libur)))</f>
        <v>46329</v>
      </c>
      <c r="K16" s="24" t="n">
        <f aca="false">WORKDAY(J16,G16-1,Libur)</f>
        <v>46330</v>
      </c>
      <c r="L16" s="25" t="s">
        <v>85</v>
      </c>
    </row>
    <row r="17" customFormat="false" ht="15" hidden="false" customHeight="false" outlineLevel="0" collapsed="false">
      <c r="A17" s="20" t="s">
        <v>90</v>
      </c>
      <c r="B17" s="4" t="s">
        <v>91</v>
      </c>
      <c r="C17" s="20" t="n">
        <v>4</v>
      </c>
      <c r="D17" s="21" t="str">
        <f aca="false">TRIM(IF('Effort Manday'!I17=1,"Intan ","")&amp;IF('Effort Manday'!J17=1,"Fitri ","")&amp;IF('Effort Manday'!K17=1,"Chaira ","")&amp;IF('Effort Manday'!L17=1,"Siti ",""))</f>
        <v>Fitri</v>
      </c>
      <c r="E17" s="13" t="n">
        <f aca="false">'Effort Manday'!G17</f>
        <v>3</v>
      </c>
      <c r="F17" s="22" t="n">
        <f aca="false">'Effort Manday'!M17</f>
        <v>1</v>
      </c>
      <c r="G17" s="22" t="n">
        <f aca="false">'Effort Manday'!N17</f>
        <v>3</v>
      </c>
      <c r="H17" s="23" t="s">
        <v>83</v>
      </c>
      <c r="I17" s="23" t="s">
        <v>69</v>
      </c>
      <c r="J17" s="24" t="n">
        <f aca="false">IF(H17="",WORKDAY(Mulai_Proyek-1,1,Libur),IF(I17="SS",INDEX($J$6:$J$31,MATCH(H17,$A$6:$A$31,0)),WORKDAY(INDEX($K$6:$K$31,MATCH(H17,$A$6:$A$31,0)),1,Libur)))</f>
        <v>46322</v>
      </c>
      <c r="K17" s="24" t="n">
        <f aca="false">WORKDAY(J17,G17-1,Libur)</f>
        <v>46324</v>
      </c>
      <c r="L17" s="25" t="s">
        <v>85</v>
      </c>
    </row>
    <row r="18" customFormat="false" ht="15" hidden="false" customHeight="false" outlineLevel="0" collapsed="false">
      <c r="A18" s="20" t="s">
        <v>92</v>
      </c>
      <c r="B18" s="4" t="s">
        <v>93</v>
      </c>
      <c r="C18" s="20" t="n">
        <v>4</v>
      </c>
      <c r="D18" s="21" t="str">
        <f aca="false">TRIM(IF('Effort Manday'!I18=1,"Intan ","")&amp;IF('Effort Manday'!J18=1,"Fitri ","")&amp;IF('Effort Manday'!K18=1,"Chaira ","")&amp;IF('Effort Manday'!L18=1,"Siti ",""))</f>
        <v>Intan</v>
      </c>
      <c r="E18" s="13" t="n">
        <f aca="false">'Effort Manday'!G18</f>
        <v>3.16666666666667</v>
      </c>
      <c r="F18" s="22" t="n">
        <f aca="false">'Effort Manday'!M18</f>
        <v>1</v>
      </c>
      <c r="G18" s="22" t="n">
        <f aca="false">'Effort Manday'!N18</f>
        <v>4</v>
      </c>
      <c r="H18" s="23" t="s">
        <v>88</v>
      </c>
      <c r="I18" s="23" t="s">
        <v>69</v>
      </c>
      <c r="J18" s="24" t="n">
        <f aca="false">IF(H18="",WORKDAY(Mulai_Proyek-1,1,Libur),IF(I18="SS",INDEX($J$6:$J$31,MATCH(H18,$A$6:$A$31,0)),WORKDAY(INDEX($K$6:$K$31,MATCH(H18,$A$6:$A$31,0)),1,Libur)))</f>
        <v>46331</v>
      </c>
      <c r="K18" s="24" t="n">
        <f aca="false">WORKDAY(J18,G18-1,Libur)</f>
        <v>46336</v>
      </c>
      <c r="L18" s="25" t="s">
        <v>85</v>
      </c>
    </row>
    <row r="19" customFormat="false" ht="15" hidden="false" customHeight="false" outlineLevel="0" collapsed="false">
      <c r="A19" s="20" t="s">
        <v>94</v>
      </c>
      <c r="B19" s="4" t="s">
        <v>95</v>
      </c>
      <c r="C19" s="20" t="n">
        <v>4</v>
      </c>
      <c r="D19" s="21" t="str">
        <f aca="false">TRIM(IF('Effort Manday'!I19=1,"Intan ","")&amp;IF('Effort Manday'!J19=1,"Fitri ","")&amp;IF('Effort Manday'!K19=1,"Chaira ","")&amp;IF('Effort Manday'!L19=1,"Siti ",""))</f>
        <v>Siti</v>
      </c>
      <c r="E19" s="13" t="n">
        <f aca="false">'Effort Manday'!G19</f>
        <v>3.16666666666667</v>
      </c>
      <c r="F19" s="22" t="n">
        <f aca="false">'Effort Manday'!M19</f>
        <v>1</v>
      </c>
      <c r="G19" s="22" t="n">
        <f aca="false">'Effort Manday'!N19</f>
        <v>4</v>
      </c>
      <c r="H19" s="23" t="s">
        <v>90</v>
      </c>
      <c r="I19" s="23" t="s">
        <v>96</v>
      </c>
      <c r="J19" s="24" t="n">
        <f aca="false">IF(H19="",WORKDAY(Mulai_Proyek-1,1,Libur),IF(I19="SS",INDEX($J$6:$J$31,MATCH(H19,$A$6:$A$31,0)),WORKDAY(INDEX($K$6:$K$31,MATCH(H19,$A$6:$A$31,0)),1,Libur)))</f>
        <v>46322</v>
      </c>
      <c r="K19" s="24" t="n">
        <f aca="false">WORKDAY(J19,G19-1,Libur)</f>
        <v>46325</v>
      </c>
      <c r="L19" s="25" t="s">
        <v>85</v>
      </c>
    </row>
    <row r="20" customFormat="false" ht="15" hidden="false" customHeight="false" outlineLevel="0" collapsed="false">
      <c r="A20" s="20" t="s">
        <v>97</v>
      </c>
      <c r="B20" s="4" t="s">
        <v>98</v>
      </c>
      <c r="C20" s="20" t="n">
        <v>5</v>
      </c>
      <c r="D20" s="21" t="str">
        <f aca="false">TRIM(IF('Effort Manday'!I20=1,"Intan ","")&amp;IF('Effort Manday'!J20=1,"Fitri ","")&amp;IF('Effort Manday'!K20=1,"Chaira ","")&amp;IF('Effort Manday'!L20=1,"Siti ",""))</f>
        <v>Intan</v>
      </c>
      <c r="E20" s="13" t="n">
        <f aca="false">'Effort Manday'!G20</f>
        <v>6.16666666666667</v>
      </c>
      <c r="F20" s="22" t="n">
        <f aca="false">'Effort Manday'!M20</f>
        <v>1</v>
      </c>
      <c r="G20" s="22" t="n">
        <f aca="false">'Effort Manday'!N20</f>
        <v>7</v>
      </c>
      <c r="H20" s="23" t="s">
        <v>92</v>
      </c>
      <c r="I20" s="23" t="s">
        <v>69</v>
      </c>
      <c r="J20" s="24" t="n">
        <f aca="false">IF(H20="",WORKDAY(Mulai_Proyek-1,1,Libur),IF(I20="SS",INDEX($J$6:$J$31,MATCH(H20,$A$6:$A$31,0)),WORKDAY(INDEX($K$6:$K$31,MATCH(H20,$A$6:$A$31,0)),1,Libur)))</f>
        <v>46337</v>
      </c>
      <c r="K20" s="24" t="n">
        <f aca="false">WORKDAY(J20,G20-1,Libur)</f>
        <v>46345</v>
      </c>
      <c r="L20" s="25" t="s">
        <v>85</v>
      </c>
    </row>
    <row r="21" customFormat="false" ht="15" hidden="false" customHeight="false" outlineLevel="0" collapsed="false">
      <c r="A21" s="20" t="s">
        <v>99</v>
      </c>
      <c r="B21" s="4" t="s">
        <v>100</v>
      </c>
      <c r="C21" s="20" t="n">
        <v>5</v>
      </c>
      <c r="D21" s="21" t="str">
        <f aca="false">TRIM(IF('Effort Manday'!I21=1,"Intan ","")&amp;IF('Effort Manday'!J21=1,"Fitri ","")&amp;IF('Effort Manday'!K21=1,"Chaira ","")&amp;IF('Effort Manday'!L21=1,"Siti ",""))</f>
        <v>Fitri</v>
      </c>
      <c r="E21" s="13" t="n">
        <f aca="false">'Effort Manday'!G21</f>
        <v>5.16666666666667</v>
      </c>
      <c r="F21" s="22" t="n">
        <f aca="false">'Effort Manday'!M21</f>
        <v>1</v>
      </c>
      <c r="G21" s="22" t="n">
        <f aca="false">'Effort Manday'!N21</f>
        <v>6</v>
      </c>
      <c r="H21" s="23" t="s">
        <v>92</v>
      </c>
      <c r="I21" s="23" t="s">
        <v>69</v>
      </c>
      <c r="J21" s="24" t="n">
        <f aca="false">IF(H21="",WORKDAY(Mulai_Proyek-1,1,Libur),IF(I21="SS",INDEX($J$6:$J$31,MATCH(H21,$A$6:$A$31,0)),WORKDAY(INDEX($K$6:$K$31,MATCH(H21,$A$6:$A$31,0)),1,Libur)))</f>
        <v>46337</v>
      </c>
      <c r="K21" s="24" t="n">
        <f aca="false">WORKDAY(J21,G21-1,Libur)</f>
        <v>46344</v>
      </c>
      <c r="L21" s="25" t="s">
        <v>85</v>
      </c>
    </row>
    <row r="22" customFormat="false" ht="15" hidden="false" customHeight="false" outlineLevel="0" collapsed="false">
      <c r="A22" s="20" t="s">
        <v>101</v>
      </c>
      <c r="B22" s="4" t="s">
        <v>102</v>
      </c>
      <c r="C22" s="20" t="n">
        <v>5</v>
      </c>
      <c r="D22" s="21" t="str">
        <f aca="false">TRIM(IF('Effort Manday'!I22=1,"Intan ","")&amp;IF('Effort Manday'!J22=1,"Fitri ","")&amp;IF('Effort Manday'!K22=1,"Chaira ","")&amp;IF('Effort Manday'!L22=1,"Siti ",""))</f>
        <v>Chaira</v>
      </c>
      <c r="E22" s="13" t="n">
        <f aca="false">'Effort Manday'!G22</f>
        <v>5.16666666666667</v>
      </c>
      <c r="F22" s="22" t="n">
        <f aca="false">'Effort Manday'!M22</f>
        <v>1</v>
      </c>
      <c r="G22" s="22" t="n">
        <f aca="false">'Effort Manday'!N22</f>
        <v>6</v>
      </c>
      <c r="H22" s="23" t="s">
        <v>92</v>
      </c>
      <c r="I22" s="23" t="s">
        <v>69</v>
      </c>
      <c r="J22" s="24" t="n">
        <f aca="false">IF(H22="",WORKDAY(Mulai_Proyek-1,1,Libur),IF(I22="SS",INDEX($J$6:$J$31,MATCH(H22,$A$6:$A$31,0)),WORKDAY(INDEX($K$6:$K$31,MATCH(H22,$A$6:$A$31,0)),1,Libur)))</f>
        <v>46337</v>
      </c>
      <c r="K22" s="24" t="n">
        <f aca="false">WORKDAY(J22,G22-1,Libur)</f>
        <v>46344</v>
      </c>
      <c r="L22" s="25" t="s">
        <v>85</v>
      </c>
    </row>
    <row r="23" customFormat="false" ht="15" hidden="false" customHeight="false" outlineLevel="0" collapsed="false">
      <c r="A23" s="20" t="s">
        <v>103</v>
      </c>
      <c r="B23" s="4" t="s">
        <v>104</v>
      </c>
      <c r="C23" s="20" t="n">
        <v>5</v>
      </c>
      <c r="D23" s="21" t="str">
        <f aca="false">TRIM(IF('Effort Manday'!I23=1,"Intan ","")&amp;IF('Effort Manday'!J23=1,"Fitri ","")&amp;IF('Effort Manday'!K23=1,"Chaira ","")&amp;IF('Effort Manday'!L23=1,"Siti ",""))</f>
        <v>Siti</v>
      </c>
      <c r="E23" s="13" t="n">
        <f aca="false">'Effort Manday'!G23</f>
        <v>6.33333333333333</v>
      </c>
      <c r="F23" s="22" t="n">
        <f aca="false">'Effort Manday'!M23</f>
        <v>1</v>
      </c>
      <c r="G23" s="22" t="n">
        <f aca="false">'Effort Manday'!N23</f>
        <v>7</v>
      </c>
      <c r="H23" s="23" t="s">
        <v>92</v>
      </c>
      <c r="I23" s="23" t="s">
        <v>69</v>
      </c>
      <c r="J23" s="24" t="n">
        <f aca="false">IF(H23="",WORKDAY(Mulai_Proyek-1,1,Libur),IF(I23="SS",INDEX($J$6:$J$31,MATCH(H23,$A$6:$A$31,0)),WORKDAY(INDEX($K$6:$K$31,MATCH(H23,$A$6:$A$31,0)),1,Libur)))</f>
        <v>46337</v>
      </c>
      <c r="K23" s="24" t="n">
        <f aca="false">WORKDAY(J23,G23-1,Libur)</f>
        <v>46345</v>
      </c>
      <c r="L23" s="25" t="s">
        <v>85</v>
      </c>
    </row>
    <row r="24" customFormat="false" ht="15" hidden="false" customHeight="false" outlineLevel="0" collapsed="false">
      <c r="A24" s="20" t="s">
        <v>105</v>
      </c>
      <c r="B24" s="4" t="s">
        <v>106</v>
      </c>
      <c r="C24" s="20" t="n">
        <v>6</v>
      </c>
      <c r="D24" s="21" t="str">
        <f aca="false">TRIM(IF('Effort Manday'!I24=1,"Intan ","")&amp;IF('Effort Manday'!J24=1,"Fitri ","")&amp;IF('Effort Manday'!K24=1,"Chaira ","")&amp;IF('Effort Manday'!L24=1,"Siti ",""))</f>
        <v>Fitri</v>
      </c>
      <c r="E24" s="13" t="n">
        <f aca="false">'Effort Manday'!G24</f>
        <v>2</v>
      </c>
      <c r="F24" s="22" t="n">
        <f aca="false">'Effort Manday'!M24</f>
        <v>1</v>
      </c>
      <c r="G24" s="22" t="n">
        <f aca="false">'Effort Manday'!N24</f>
        <v>2</v>
      </c>
      <c r="H24" s="23" t="s">
        <v>97</v>
      </c>
      <c r="I24" s="23" t="s">
        <v>96</v>
      </c>
      <c r="J24" s="24" t="n">
        <f aca="false">IF(H24="",WORKDAY(Mulai_Proyek-1,1,Libur),IF(I24="SS",INDEX($J$6:$J$31,MATCH(H24,$A$6:$A$31,0)),WORKDAY(INDEX($K$6:$K$31,MATCH(H24,$A$6:$A$31,0)),1,Libur)))</f>
        <v>46337</v>
      </c>
      <c r="K24" s="24" t="n">
        <f aca="false">WORKDAY(J24,G24-1,Libur)</f>
        <v>46338</v>
      </c>
      <c r="L24" s="25" t="s">
        <v>85</v>
      </c>
    </row>
    <row r="25" customFormat="false" ht="15" hidden="false" customHeight="false" outlineLevel="0" collapsed="false">
      <c r="A25" s="20" t="s">
        <v>107</v>
      </c>
      <c r="B25" s="4" t="s">
        <v>108</v>
      </c>
      <c r="C25" s="20" t="n">
        <v>6</v>
      </c>
      <c r="D25" s="21" t="str">
        <f aca="false">TRIM(IF('Effort Manday'!I25=1,"Intan ","")&amp;IF('Effort Manday'!J25=1,"Fitri ","")&amp;IF('Effort Manday'!K25=1,"Chaira ","")&amp;IF('Effort Manday'!L25=1,"Siti ",""))</f>
        <v>Intan Fitri Chaira Siti</v>
      </c>
      <c r="E25" s="13" t="n">
        <f aca="false">'Effort Manday'!G25</f>
        <v>3.16666666666667</v>
      </c>
      <c r="F25" s="22" t="n">
        <f aca="false">'Effort Manday'!M25</f>
        <v>4</v>
      </c>
      <c r="G25" s="22" t="n">
        <f aca="false">'Effort Manday'!N25</f>
        <v>1</v>
      </c>
      <c r="H25" s="23" t="s">
        <v>97</v>
      </c>
      <c r="I25" s="23" t="s">
        <v>69</v>
      </c>
      <c r="J25" s="24" t="n">
        <f aca="false">IF(H25="",WORKDAY(Mulai_Proyek-1,1,Libur),IF(I25="SS",INDEX($J$6:$J$31,MATCH(H25,$A$6:$A$31,0)),WORKDAY(INDEX($K$6:$K$31,MATCH(H25,$A$6:$A$31,0)),1,Libur)))</f>
        <v>46346</v>
      </c>
      <c r="K25" s="24" t="n">
        <f aca="false">WORKDAY(J25,G25-1,Libur)</f>
        <v>46346</v>
      </c>
      <c r="L25" s="25" t="s">
        <v>85</v>
      </c>
    </row>
    <row r="26" customFormat="false" ht="15" hidden="false" customHeight="false" outlineLevel="0" collapsed="false">
      <c r="A26" s="20" t="s">
        <v>109</v>
      </c>
      <c r="B26" s="4" t="s">
        <v>110</v>
      </c>
      <c r="C26" s="20" t="n">
        <v>6</v>
      </c>
      <c r="D26" s="21" t="str">
        <f aca="false">TRIM(IF('Effort Manday'!I26=1,"Intan ","")&amp;IF('Effort Manday'!J26=1,"Fitri ","")&amp;IF('Effort Manday'!K26=1,"Chaira ","")&amp;IF('Effort Manday'!L26=1,"Siti ",""))</f>
        <v>Chaira</v>
      </c>
      <c r="E26" s="13" t="n">
        <f aca="false">'Effort Manday'!G26</f>
        <v>2</v>
      </c>
      <c r="F26" s="22" t="n">
        <f aca="false">'Effort Manday'!M26</f>
        <v>1</v>
      </c>
      <c r="G26" s="22" t="n">
        <f aca="false">'Effort Manday'!N26</f>
        <v>2</v>
      </c>
      <c r="H26" s="23" t="s">
        <v>107</v>
      </c>
      <c r="I26" s="23" t="s">
        <v>69</v>
      </c>
      <c r="J26" s="24" t="n">
        <f aca="false">IF(H26="",WORKDAY(Mulai_Proyek-1,1,Libur),IF(I26="SS",INDEX($J$6:$J$31,MATCH(H26,$A$6:$A$31,0)),WORKDAY(INDEX($K$6:$K$31,MATCH(H26,$A$6:$A$31,0)),1,Libur)))</f>
        <v>46349</v>
      </c>
      <c r="K26" s="24" t="n">
        <f aca="false">WORKDAY(J26,G26-1,Libur)</f>
        <v>46350</v>
      </c>
      <c r="L26" s="25" t="s">
        <v>85</v>
      </c>
    </row>
    <row r="27" customFormat="false" ht="15" hidden="false" customHeight="false" outlineLevel="0" collapsed="false">
      <c r="A27" s="20" t="s">
        <v>111</v>
      </c>
      <c r="B27" s="4" t="s">
        <v>112</v>
      </c>
      <c r="C27" s="20" t="n">
        <v>6</v>
      </c>
      <c r="D27" s="21" t="str">
        <f aca="false">TRIM(IF('Effort Manday'!I27=1,"Intan ","")&amp;IF('Effort Manday'!J27=1,"Fitri ","")&amp;IF('Effort Manday'!K27=1,"Chaira ","")&amp;IF('Effort Manday'!L27=1,"Siti ",""))</f>
        <v>Intan</v>
      </c>
      <c r="E27" s="13" t="n">
        <f aca="false">'Effort Manday'!G27</f>
        <v>4.16666666666667</v>
      </c>
      <c r="F27" s="22" t="n">
        <f aca="false">'Effort Manday'!M27</f>
        <v>1</v>
      </c>
      <c r="G27" s="22" t="n">
        <f aca="false">'Effort Manday'!N27</f>
        <v>5</v>
      </c>
      <c r="H27" s="23" t="s">
        <v>109</v>
      </c>
      <c r="I27" s="23" t="s">
        <v>69</v>
      </c>
      <c r="J27" s="24" t="n">
        <f aca="false">IF(H27="",WORKDAY(Mulai_Proyek-1,1,Libur),IF(I27="SS",INDEX($J$6:$J$31,MATCH(H27,$A$6:$A$31,0)),WORKDAY(INDEX($K$6:$K$31,MATCH(H27,$A$6:$A$31,0)),1,Libur)))</f>
        <v>46351</v>
      </c>
      <c r="K27" s="24" t="n">
        <f aca="false">WORKDAY(J27,G27-1,Libur)</f>
        <v>46357</v>
      </c>
      <c r="L27" s="25" t="s">
        <v>85</v>
      </c>
    </row>
    <row r="28" customFormat="false" ht="15" hidden="false" customHeight="false" outlineLevel="0" collapsed="false">
      <c r="A28" s="20" t="s">
        <v>113</v>
      </c>
      <c r="B28" s="4" t="s">
        <v>114</v>
      </c>
      <c r="C28" s="20" t="n">
        <v>7</v>
      </c>
      <c r="D28" s="21" t="str">
        <f aca="false">TRIM(IF('Effort Manday'!I28=1,"Intan ","")&amp;IF('Effort Manday'!J28=1,"Fitri ","")&amp;IF('Effort Manday'!K28=1,"Chaira ","")&amp;IF('Effort Manday'!L28=1,"Siti ",""))</f>
        <v>Siti</v>
      </c>
      <c r="E28" s="13" t="n">
        <f aca="false">'Effort Manday'!G28</f>
        <v>3.16666666666667</v>
      </c>
      <c r="F28" s="22" t="n">
        <f aca="false">'Effort Manday'!M28</f>
        <v>1</v>
      </c>
      <c r="G28" s="22" t="n">
        <f aca="false">'Effort Manday'!N28</f>
        <v>4</v>
      </c>
      <c r="H28" s="23" t="s">
        <v>109</v>
      </c>
      <c r="I28" s="23" t="s">
        <v>69</v>
      </c>
      <c r="J28" s="24" t="n">
        <f aca="false">IF(H28="",WORKDAY(Mulai_Proyek-1,1,Libur),IF(I28="SS",INDEX($J$6:$J$31,MATCH(H28,$A$6:$A$31,0)),WORKDAY(INDEX($K$6:$K$31,MATCH(H28,$A$6:$A$31,0)),1,Libur)))</f>
        <v>46351</v>
      </c>
      <c r="K28" s="24" t="n">
        <f aca="false">WORKDAY(J28,G28-1,Libur)</f>
        <v>46356</v>
      </c>
      <c r="L28" s="25" t="s">
        <v>85</v>
      </c>
    </row>
    <row r="29" customFormat="false" ht="15" hidden="false" customHeight="false" outlineLevel="0" collapsed="false">
      <c r="A29" s="20" t="s">
        <v>115</v>
      </c>
      <c r="B29" s="4" t="s">
        <v>116</v>
      </c>
      <c r="C29" s="20" t="n">
        <v>7</v>
      </c>
      <c r="D29" s="21" t="str">
        <f aca="false">TRIM(IF('Effort Manday'!I29=1,"Intan ","")&amp;IF('Effort Manday'!J29=1,"Fitri ","")&amp;IF('Effort Manday'!K29=1,"Chaira ","")&amp;IF('Effort Manday'!L29=1,"Siti ",""))</f>
        <v>Fitri</v>
      </c>
      <c r="E29" s="13" t="n">
        <f aca="false">'Effort Manday'!G29</f>
        <v>5</v>
      </c>
      <c r="F29" s="22" t="n">
        <f aca="false">'Effort Manday'!M29</f>
        <v>1</v>
      </c>
      <c r="G29" s="22" t="n">
        <f aca="false">'Effort Manday'!N29</f>
        <v>5</v>
      </c>
      <c r="H29" s="23" t="s">
        <v>111</v>
      </c>
      <c r="I29" s="23" t="s">
        <v>69</v>
      </c>
      <c r="J29" s="24" t="n">
        <f aca="false">IF(H29="",WORKDAY(Mulai_Proyek-1,1,Libur),IF(I29="SS",INDEX($J$6:$J$31,MATCH(H29,$A$6:$A$31,0)),WORKDAY(INDEX($K$6:$K$31,MATCH(H29,$A$6:$A$31,0)),1,Libur)))</f>
        <v>46358</v>
      </c>
      <c r="K29" s="24" t="n">
        <f aca="false">WORKDAY(J29,G29-1,Libur)</f>
        <v>46364</v>
      </c>
      <c r="L29" s="25" t="s">
        <v>85</v>
      </c>
    </row>
    <row r="30" customFormat="false" ht="15" hidden="false" customHeight="false" outlineLevel="0" collapsed="false">
      <c r="A30" s="20" t="s">
        <v>117</v>
      </c>
      <c r="B30" s="4" t="s">
        <v>118</v>
      </c>
      <c r="C30" s="20" t="n">
        <v>7</v>
      </c>
      <c r="D30" s="21" t="str">
        <f aca="false">TRIM(IF('Effort Manday'!I30=1,"Intan ","")&amp;IF('Effort Manday'!J30=1,"Fitri ","")&amp;IF('Effort Manday'!K30=1,"Chaira ","")&amp;IF('Effort Manday'!L30=1,"Siti ",""))</f>
        <v>Chaira</v>
      </c>
      <c r="E30" s="13" t="n">
        <f aca="false">'Effort Manday'!G30</f>
        <v>3</v>
      </c>
      <c r="F30" s="22" t="n">
        <f aca="false">'Effort Manday'!M30</f>
        <v>1</v>
      </c>
      <c r="G30" s="22" t="n">
        <f aca="false">'Effort Manday'!N30</f>
        <v>3</v>
      </c>
      <c r="H30" s="23" t="s">
        <v>115</v>
      </c>
      <c r="I30" s="23" t="s">
        <v>69</v>
      </c>
      <c r="J30" s="24" t="n">
        <f aca="false">IF(H30="",WORKDAY(Mulai_Proyek-1,1,Libur),IF(I30="SS",INDEX($J$6:$J$31,MATCH(H30,$A$6:$A$31,0)),WORKDAY(INDEX($K$6:$K$31,MATCH(H30,$A$6:$A$31,0)),1,Libur)))</f>
        <v>46365</v>
      </c>
      <c r="K30" s="24" t="n">
        <f aca="false">WORKDAY(J30,G30-1,Libur)</f>
        <v>46367</v>
      </c>
      <c r="L30" s="25" t="s">
        <v>85</v>
      </c>
    </row>
    <row r="31" customFormat="false" ht="15" hidden="false" customHeight="false" outlineLevel="0" collapsed="false">
      <c r="A31" s="20" t="s">
        <v>119</v>
      </c>
      <c r="B31" s="4" t="s">
        <v>120</v>
      </c>
      <c r="C31" s="20" t="n">
        <v>7</v>
      </c>
      <c r="D31" s="21" t="str">
        <f aca="false">TRIM(IF('Effort Manday'!I31=1,"Intan ","")&amp;IF('Effort Manday'!J31=1,"Fitri ","")&amp;IF('Effort Manday'!K31=1,"Chaira ","")&amp;IF('Effort Manday'!L31=1,"Siti ",""))</f>
        <v>Intan</v>
      </c>
      <c r="E31" s="13" t="n">
        <f aca="false">'Effort Manday'!G31</f>
        <v>1.66666666666667</v>
      </c>
      <c r="F31" s="22" t="n">
        <f aca="false">'Effort Manday'!M31</f>
        <v>1</v>
      </c>
      <c r="G31" s="22" t="n">
        <f aca="false">'Effort Manday'!N31</f>
        <v>2</v>
      </c>
      <c r="H31" s="23" t="s">
        <v>115</v>
      </c>
      <c r="I31" s="23" t="s">
        <v>69</v>
      </c>
      <c r="J31" s="24" t="n">
        <f aca="false">IF(H31="",WORKDAY(Mulai_Proyek-1,1,Libur),IF(I31="SS",INDEX($J$6:$J$31,MATCH(H31,$A$6:$A$31,0)),WORKDAY(INDEX($K$6:$K$31,MATCH(H31,$A$6:$A$31,0)),1,Libur)))</f>
        <v>46365</v>
      </c>
      <c r="K31" s="24" t="n">
        <f aca="false">WORKDAY(J31,G31-1,Libur)</f>
        <v>46366</v>
      </c>
      <c r="L31" s="25" t="s">
        <v>85</v>
      </c>
    </row>
    <row r="32" customFormat="false" ht="15" hidden="false" customHeight="false" outlineLevel="0" collapsed="false">
      <c r="A32" s="3" t="s">
        <v>121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customFormat="false" ht="15" hidden="false" customHeight="false" outlineLevel="0" collapsed="false">
      <c r="A33" s="12" t="s">
        <v>122</v>
      </c>
      <c r="B33" s="27" t="s">
        <v>123</v>
      </c>
      <c r="C33" s="4"/>
      <c r="D33" s="4"/>
      <c r="E33" s="4"/>
      <c r="F33" s="4"/>
      <c r="G33" s="4"/>
      <c r="H33" s="4"/>
      <c r="I33" s="4"/>
      <c r="J33" s="24" t="n">
        <f aca="false">Tenggat_Tahap2</f>
        <v>46319</v>
      </c>
      <c r="K33" s="24" t="n">
        <f aca="false">J33</f>
        <v>46319</v>
      </c>
      <c r="L33" s="4"/>
    </row>
    <row r="34" customFormat="false" ht="15" hidden="false" customHeight="false" outlineLevel="0" collapsed="false">
      <c r="A34" s="12" t="s">
        <v>124</v>
      </c>
      <c r="B34" s="27" t="s">
        <v>125</v>
      </c>
      <c r="C34" s="4"/>
      <c r="D34" s="4"/>
      <c r="E34" s="4"/>
      <c r="F34" s="4"/>
      <c r="G34" s="4"/>
      <c r="H34" s="4"/>
      <c r="I34" s="4"/>
      <c r="J34" s="6" t="n">
        <v>46339</v>
      </c>
      <c r="K34" s="24" t="n">
        <f aca="false">J34</f>
        <v>46339</v>
      </c>
      <c r="L34" s="4"/>
    </row>
    <row r="35" customFormat="false" ht="15" hidden="false" customHeight="false" outlineLevel="0" collapsed="false">
      <c r="A35" s="12" t="s">
        <v>126</v>
      </c>
      <c r="B35" s="27" t="s">
        <v>127</v>
      </c>
      <c r="C35" s="4"/>
      <c r="D35" s="4"/>
      <c r="E35" s="4"/>
      <c r="F35" s="4"/>
      <c r="G35" s="4"/>
      <c r="H35" s="4"/>
      <c r="I35" s="4"/>
      <c r="J35" s="6" t="n">
        <v>46360</v>
      </c>
      <c r="K35" s="24" t="n">
        <f aca="false">J35</f>
        <v>46360</v>
      </c>
      <c r="L35" s="4"/>
    </row>
    <row r="36" customFormat="false" ht="15" hidden="false" customHeight="false" outlineLevel="0" collapsed="false">
      <c r="A36" s="12" t="s">
        <v>128</v>
      </c>
      <c r="B36" s="27" t="s">
        <v>129</v>
      </c>
      <c r="C36" s="4"/>
      <c r="D36" s="4"/>
      <c r="E36" s="4"/>
      <c r="F36" s="4"/>
      <c r="G36" s="4"/>
      <c r="H36" s="4"/>
      <c r="I36" s="4"/>
      <c r="J36" s="24" t="n">
        <f aca="false">Tenggat_Akhir</f>
        <v>46374</v>
      </c>
      <c r="K36" s="24" t="n">
        <f aca="false">J36</f>
        <v>46374</v>
      </c>
      <c r="L36" s="4"/>
    </row>
    <row r="38" customFormat="false" ht="15" hidden="false" customHeight="false" outlineLevel="0" collapsed="false">
      <c r="A38" s="3" t="s">
        <v>130</v>
      </c>
    </row>
    <row r="39" customFormat="false" ht="23.85" hidden="false" customHeight="false" outlineLevel="0" collapsed="false">
      <c r="A39" s="18" t="s">
        <v>52</v>
      </c>
      <c r="B39" s="18" t="s">
        <v>131</v>
      </c>
      <c r="C39" s="18" t="s">
        <v>132</v>
      </c>
      <c r="D39" s="18"/>
      <c r="E39" s="18" t="s">
        <v>133</v>
      </c>
      <c r="F39" s="18"/>
      <c r="G39" s="18" t="s">
        <v>134</v>
      </c>
      <c r="H39" s="18"/>
      <c r="I39" s="18"/>
      <c r="J39" s="18" t="s">
        <v>135</v>
      </c>
      <c r="K39" s="18" t="s">
        <v>63</v>
      </c>
    </row>
    <row r="40" customFormat="false" ht="15" hidden="false" customHeight="false" outlineLevel="0" collapsed="false">
      <c r="A40" s="20" t="s">
        <v>122</v>
      </c>
      <c r="B40" s="4" t="s">
        <v>123</v>
      </c>
      <c r="C40" s="23" t="n">
        <v>2</v>
      </c>
      <c r="E40" s="24" t="n">
        <f aca="false">J33</f>
        <v>46319</v>
      </c>
      <c r="G40" s="24" t="n">
        <f aca="false">_xlfn.MAXIFS($K$6:$K$31,$C$6:$C$31,"&lt;="&amp;C40)</f>
        <v>46315</v>
      </c>
      <c r="J40" s="10" t="n">
        <f aca="false">E40-G40</f>
        <v>4</v>
      </c>
      <c r="K40" s="12" t="str">
        <f aca="false">IF(G40&lt;=E40,"OK","TERLAMBAT")</f>
        <v>OK</v>
      </c>
    </row>
    <row r="41" customFormat="false" ht="15" hidden="false" customHeight="false" outlineLevel="0" collapsed="false">
      <c r="A41" s="20" t="s">
        <v>124</v>
      </c>
      <c r="B41" s="4" t="s">
        <v>125</v>
      </c>
      <c r="C41" s="23" t="n">
        <v>4</v>
      </c>
      <c r="E41" s="24" t="n">
        <f aca="false">J34</f>
        <v>46339</v>
      </c>
      <c r="G41" s="24" t="n">
        <f aca="false">_xlfn.MAXIFS($K$6:$K$31,$C$6:$C$31,"&lt;="&amp;C41)</f>
        <v>46336</v>
      </c>
      <c r="J41" s="10" t="n">
        <f aca="false">E41-G41</f>
        <v>3</v>
      </c>
      <c r="K41" s="12" t="str">
        <f aca="false">IF(G41&lt;=E41,"OK","TERLAMBAT")</f>
        <v>OK</v>
      </c>
    </row>
    <row r="42" customFormat="false" ht="15" hidden="false" customHeight="false" outlineLevel="0" collapsed="false">
      <c r="A42" s="20" t="s">
        <v>126</v>
      </c>
      <c r="B42" s="4" t="s">
        <v>127</v>
      </c>
      <c r="C42" s="23" t="n">
        <v>6</v>
      </c>
      <c r="E42" s="24" t="n">
        <f aca="false">J35</f>
        <v>46360</v>
      </c>
      <c r="G42" s="24" t="n">
        <f aca="false">_xlfn.MAXIFS($K$6:$K$31,$C$6:$C$31,"&lt;="&amp;C42)</f>
        <v>46357</v>
      </c>
      <c r="J42" s="10" t="n">
        <f aca="false">E42-G42</f>
        <v>3</v>
      </c>
      <c r="K42" s="12" t="str">
        <f aca="false">IF(G42&lt;=E42,"OK","TERLAMBAT")</f>
        <v>OK</v>
      </c>
    </row>
    <row r="43" customFormat="false" ht="15" hidden="false" customHeight="false" outlineLevel="0" collapsed="false">
      <c r="A43" s="20" t="s">
        <v>128</v>
      </c>
      <c r="B43" s="4" t="s">
        <v>129</v>
      </c>
      <c r="C43" s="23" t="n">
        <v>7</v>
      </c>
      <c r="E43" s="24" t="n">
        <f aca="false">J36</f>
        <v>46374</v>
      </c>
      <c r="G43" s="24" t="n">
        <f aca="false">_xlfn.MAXIFS($K$6:$K$31,$C$6:$C$31,"&lt;="&amp;C43)</f>
        <v>46367</v>
      </c>
      <c r="J43" s="10" t="n">
        <f aca="false">E43-G43</f>
        <v>7</v>
      </c>
      <c r="K43" s="12" t="str">
        <f aca="false">IF(G43&lt;=E43,"OK","TERLAMBAT")</f>
        <v>OK</v>
      </c>
    </row>
  </sheetData>
  <conditionalFormatting sqref="M6:CR31">
    <cfRule type="expression" priority="2" aboveAverage="0" equalAverage="0" bottom="0" percent="0" rank="0" text="" dxfId="0">
      <formula>AND($C6=1,M$5&gt;=$J6,M$5&lt;=$K6)</formula>
    </cfRule>
    <cfRule type="expression" priority="3" aboveAverage="0" equalAverage="0" bottom="0" percent="0" rank="0" text="" dxfId="1">
      <formula>AND($C6=2,M$5&gt;=$J6,M$5&lt;=$K6)</formula>
    </cfRule>
    <cfRule type="expression" priority="4" aboveAverage="0" equalAverage="0" bottom="0" percent="0" rank="0" text="" dxfId="2">
      <formula>AND($C6=3,M$5&gt;=$J6,M$5&lt;=$K6)</formula>
    </cfRule>
    <cfRule type="expression" priority="5" aboveAverage="0" equalAverage="0" bottom="0" percent="0" rank="0" text="" dxfId="3">
      <formula>AND($C6=4,M$5&gt;=$J6,M$5&lt;=$K6)</formula>
    </cfRule>
    <cfRule type="expression" priority="6" aboveAverage="0" equalAverage="0" bottom="0" percent="0" rank="0" text="" dxfId="4">
      <formula>AND($C6=5,M$5&gt;=$J6,M$5&lt;=$K6)</formula>
    </cfRule>
    <cfRule type="expression" priority="7" aboveAverage="0" equalAverage="0" bottom="0" percent="0" rank="0" text="" dxfId="5">
      <formula>AND($C6=6,M$5&gt;=$J6,M$5&lt;=$K6)</formula>
    </cfRule>
    <cfRule type="expression" priority="8" aboveAverage="0" equalAverage="0" bottom="0" percent="0" rank="0" text="" dxfId="6">
      <formula>AND($C6=7,M$5&gt;=$J6,M$5&lt;=$K6)</formula>
    </cfRule>
  </conditionalFormatting>
  <conditionalFormatting sqref="M33:CR36">
    <cfRule type="expression" priority="9" aboveAverage="0" equalAverage="0" bottom="0" percent="0" rank="0" text="" dxfId="7">
      <formula>M$5=$J33</formula>
    </cfRule>
  </conditionalFormatting>
  <conditionalFormatting sqref="M6:CR36">
    <cfRule type="expression" priority="10" aboveAverage="0" equalAverage="0" bottom="0" percent="0" rank="0" text="" dxfId="8">
      <formula>M$5=Tenggat_Akhir</formula>
    </cfRule>
  </conditionalFormatting>
  <conditionalFormatting sqref="K40:K43">
    <cfRule type="cellIs" priority="11" operator="equal" aboveAverage="0" equalAverage="0" bottom="0" percent="0" rank="0" text="" dxfId="9">
      <formula>"OK"</formula>
    </cfRule>
    <cfRule type="cellIs" priority="12" operator="equal" aboveAverage="0" equalAverage="0" bottom="0" percent="0" rank="0" text="" dxfId="10">
      <formula>"TERLAMBAT"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9A1F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4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19.7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23.85" hidden="false" customHeight="false" outlineLevel="0" collapsed="false">
      <c r="A4" s="18" t="s">
        <v>138</v>
      </c>
      <c r="B4" s="18" t="s">
        <v>139</v>
      </c>
      <c r="C4" s="18" t="s">
        <v>140</v>
      </c>
      <c r="D4" s="18" t="s">
        <v>141</v>
      </c>
      <c r="E4" s="18" t="s">
        <v>142</v>
      </c>
      <c r="F4" s="18" t="s">
        <v>143</v>
      </c>
      <c r="G4" s="18" t="s">
        <v>144</v>
      </c>
      <c r="H4" s="18" t="s">
        <v>145</v>
      </c>
    </row>
    <row r="5" customFormat="false" ht="48" hidden="false" customHeight="true" outlineLevel="0" collapsed="false">
      <c r="A5" s="20" t="n">
        <v>1</v>
      </c>
      <c r="B5" s="4" t="s">
        <v>146</v>
      </c>
      <c r="C5" s="28" t="s">
        <v>87</v>
      </c>
      <c r="D5" s="28" t="s">
        <v>147</v>
      </c>
      <c r="E5" s="13" t="n">
        <f aca="false">'Effort Manday'!O32</f>
        <v>23.6041666666667</v>
      </c>
      <c r="F5" s="29" t="n">
        <f aca="false">E5/$E$9</f>
        <v>0.282121513944223</v>
      </c>
      <c r="G5" s="15" t="n">
        <f aca="false">COUNTIF('Effort Manday'!I6:I31,1)</f>
        <v>9</v>
      </c>
      <c r="H5" s="28" t="s">
        <v>148</v>
      </c>
    </row>
    <row r="6" customFormat="false" ht="48" hidden="false" customHeight="true" outlineLevel="0" collapsed="false">
      <c r="A6" s="20" t="n">
        <v>2</v>
      </c>
      <c r="B6" s="4" t="s">
        <v>149</v>
      </c>
      <c r="C6" s="28" t="s">
        <v>76</v>
      </c>
      <c r="D6" s="28" t="s">
        <v>150</v>
      </c>
      <c r="E6" s="13" t="n">
        <f aca="false">'Effort Manday'!P32</f>
        <v>22.0208333333333</v>
      </c>
      <c r="F6" s="29" t="n">
        <f aca="false">E6/$E$9</f>
        <v>0.263197211155379</v>
      </c>
      <c r="G6" s="15" t="n">
        <f aca="false">COUNTIF('Effort Manday'!J6:J31,1)</f>
        <v>9</v>
      </c>
      <c r="H6" s="28" t="s">
        <v>151</v>
      </c>
    </row>
    <row r="7" customFormat="false" ht="48" hidden="false" customHeight="true" outlineLevel="0" collapsed="false">
      <c r="A7" s="20" t="n">
        <v>3</v>
      </c>
      <c r="B7" s="4" t="s">
        <v>152</v>
      </c>
      <c r="C7" s="28" t="s">
        <v>153</v>
      </c>
      <c r="D7" s="28" t="s">
        <v>154</v>
      </c>
      <c r="E7" s="13" t="n">
        <f aca="false">'Effort Manday'!Q32</f>
        <v>20.1041666666667</v>
      </c>
      <c r="F7" s="29" t="n">
        <f aca="false">E7/$E$9</f>
        <v>0.240288844621514</v>
      </c>
      <c r="G7" s="15" t="n">
        <f aca="false">COUNTIF('Effort Manday'!K6:K31,1)</f>
        <v>9</v>
      </c>
      <c r="H7" s="28" t="s">
        <v>155</v>
      </c>
    </row>
    <row r="8" customFormat="false" ht="48" hidden="false" customHeight="true" outlineLevel="0" collapsed="false">
      <c r="A8" s="20" t="n">
        <v>4</v>
      </c>
      <c r="B8" s="4" t="s">
        <v>156</v>
      </c>
      <c r="C8" s="28" t="s">
        <v>157</v>
      </c>
      <c r="D8" s="28" t="s">
        <v>158</v>
      </c>
      <c r="E8" s="13" t="n">
        <f aca="false">'Effort Manday'!R32</f>
        <v>17.9375</v>
      </c>
      <c r="F8" s="29" t="n">
        <f aca="false">E8/$E$9</f>
        <v>0.214392430278884</v>
      </c>
      <c r="G8" s="15" t="n">
        <f aca="false">COUNTIF('Effort Manday'!L6:L31,1)</f>
        <v>8</v>
      </c>
      <c r="H8" s="28" t="s">
        <v>159</v>
      </c>
    </row>
    <row r="9" customFormat="false" ht="15" hidden="false" customHeight="false" outlineLevel="0" collapsed="false">
      <c r="B9" s="3" t="s">
        <v>160</v>
      </c>
      <c r="E9" s="30" t="n">
        <f aca="false">SUM(E5:E8)</f>
        <v>83.6666666666667</v>
      </c>
      <c r="F9" s="31" t="n">
        <f aca="false">SUM(F5:F8)</f>
        <v>1</v>
      </c>
    </row>
    <row r="10" customFormat="false" ht="15" hidden="false" customHeight="false" outlineLevel="0" collapsed="false">
      <c r="B10" s="4" t="s">
        <v>161</v>
      </c>
      <c r="E10" s="12" t="str">
        <f aca="false">IF(ABS(E9-'Effort Manday'!G32)&lt;0.001,"COCOK","BEDA")</f>
        <v>COCOK</v>
      </c>
    </row>
    <row r="12" customFormat="false" ht="15" hidden="false" customHeight="false" outlineLevel="0" collapsed="false">
      <c r="A12" s="18" t="s">
        <v>138</v>
      </c>
      <c r="B12" s="18" t="s">
        <v>162</v>
      </c>
      <c r="C12" s="18" t="s">
        <v>163</v>
      </c>
      <c r="D12" s="18" t="s">
        <v>164</v>
      </c>
    </row>
    <row r="13" customFormat="false" ht="23.85" hidden="false" customHeight="false" outlineLevel="0" collapsed="false">
      <c r="A13" s="20" t="n">
        <v>1</v>
      </c>
      <c r="B13" s="4" t="s">
        <v>165</v>
      </c>
      <c r="C13" s="28" t="s">
        <v>166</v>
      </c>
      <c r="D13" s="28" t="s">
        <v>167</v>
      </c>
    </row>
    <row r="14" customFormat="false" ht="15" hidden="false" customHeight="false" outlineLevel="0" collapsed="false">
      <c r="A14" s="20" t="n">
        <v>2</v>
      </c>
      <c r="B14" s="4" t="s">
        <v>168</v>
      </c>
      <c r="C14" s="28" t="s">
        <v>169</v>
      </c>
      <c r="D14" s="28" t="s">
        <v>170</v>
      </c>
    </row>
    <row r="16" customFormat="false" ht="15" hidden="false" customHeight="false" outlineLevel="0" collapsed="false">
      <c r="A16" s="3" t="s">
        <v>171</v>
      </c>
      <c r="B16" s="26"/>
      <c r="C16" s="26"/>
      <c r="D16" s="26"/>
      <c r="E16" s="26"/>
      <c r="F16" s="26"/>
      <c r="G16" s="26"/>
      <c r="H16" s="26"/>
    </row>
    <row r="17" customFormat="false" ht="15" hidden="false" customHeight="false" outlineLevel="0" collapsed="false">
      <c r="A17" s="18" t="s">
        <v>54</v>
      </c>
      <c r="B17" s="18" t="s">
        <v>172</v>
      </c>
      <c r="C17" s="18" t="s">
        <v>173</v>
      </c>
      <c r="D17" s="18" t="s">
        <v>174</v>
      </c>
      <c r="E17" s="18" t="s">
        <v>175</v>
      </c>
      <c r="F17" s="18" t="s">
        <v>176</v>
      </c>
      <c r="G17" s="18" t="s">
        <v>165</v>
      </c>
      <c r="H17" s="18" t="s">
        <v>177</v>
      </c>
    </row>
    <row r="18" customFormat="false" ht="15" hidden="false" customHeight="false" outlineLevel="0" collapsed="false">
      <c r="A18" s="20" t="n">
        <v>1</v>
      </c>
      <c r="B18" s="4" t="s">
        <v>178</v>
      </c>
      <c r="C18" s="20" t="s">
        <v>179</v>
      </c>
      <c r="D18" s="20" t="s">
        <v>179</v>
      </c>
      <c r="E18" s="20" t="s">
        <v>179</v>
      </c>
      <c r="F18" s="20" t="s">
        <v>180</v>
      </c>
      <c r="G18" s="20" t="s">
        <v>181</v>
      </c>
      <c r="H18" s="20" t="s">
        <v>182</v>
      </c>
    </row>
    <row r="19" customFormat="false" ht="15" hidden="false" customHeight="false" outlineLevel="0" collapsed="false">
      <c r="A19" s="20" t="n">
        <v>2</v>
      </c>
      <c r="B19" s="4" t="s">
        <v>183</v>
      </c>
      <c r="C19" s="20" t="s">
        <v>179</v>
      </c>
      <c r="D19" s="20" t="s">
        <v>180</v>
      </c>
      <c r="E19" s="20" t="s">
        <v>179</v>
      </c>
      <c r="F19" s="20" t="s">
        <v>179</v>
      </c>
      <c r="G19" s="20" t="s">
        <v>182</v>
      </c>
      <c r="H19" s="20" t="s">
        <v>182</v>
      </c>
    </row>
    <row r="20" customFormat="false" ht="15" hidden="false" customHeight="false" outlineLevel="0" collapsed="false">
      <c r="A20" s="20" t="n">
        <v>3</v>
      </c>
      <c r="B20" s="4" t="s">
        <v>184</v>
      </c>
      <c r="C20" s="20" t="s">
        <v>180</v>
      </c>
      <c r="D20" s="20" t="s">
        <v>182</v>
      </c>
      <c r="E20" s="20" t="s">
        <v>179</v>
      </c>
      <c r="F20" s="20" t="s">
        <v>182</v>
      </c>
      <c r="G20" s="20" t="s">
        <v>181</v>
      </c>
      <c r="H20" s="20" t="s">
        <v>182</v>
      </c>
    </row>
    <row r="21" customFormat="false" ht="15" hidden="false" customHeight="false" outlineLevel="0" collapsed="false">
      <c r="A21" s="20" t="n">
        <v>4</v>
      </c>
      <c r="B21" s="4" t="s">
        <v>185</v>
      </c>
      <c r="C21" s="20" t="s">
        <v>179</v>
      </c>
      <c r="D21" s="20" t="s">
        <v>180</v>
      </c>
      <c r="E21" s="20" t="s">
        <v>182</v>
      </c>
      <c r="F21" s="20" t="s">
        <v>179</v>
      </c>
      <c r="G21" s="20" t="s">
        <v>181</v>
      </c>
      <c r="H21" s="20" t="s">
        <v>182</v>
      </c>
    </row>
    <row r="22" customFormat="false" ht="15" hidden="false" customHeight="false" outlineLevel="0" collapsed="false">
      <c r="A22" s="20" t="n">
        <v>5</v>
      </c>
      <c r="B22" s="4" t="s">
        <v>186</v>
      </c>
      <c r="C22" s="20" t="s">
        <v>180</v>
      </c>
      <c r="D22" s="20" t="s">
        <v>179</v>
      </c>
      <c r="E22" s="20" t="s">
        <v>179</v>
      </c>
      <c r="F22" s="20" t="s">
        <v>179</v>
      </c>
      <c r="G22" s="20" t="s">
        <v>182</v>
      </c>
      <c r="H22" s="20" t="s">
        <v>182</v>
      </c>
    </row>
    <row r="23" customFormat="false" ht="15" hidden="false" customHeight="false" outlineLevel="0" collapsed="false">
      <c r="A23" s="20" t="n">
        <v>6</v>
      </c>
      <c r="B23" s="4" t="s">
        <v>187</v>
      </c>
      <c r="C23" s="20" t="s">
        <v>179</v>
      </c>
      <c r="D23" s="20" t="s">
        <v>180</v>
      </c>
      <c r="E23" s="20" t="s">
        <v>179</v>
      </c>
      <c r="F23" s="20" t="s">
        <v>179</v>
      </c>
      <c r="G23" s="20" t="s">
        <v>181</v>
      </c>
      <c r="H23" s="20" t="s">
        <v>182</v>
      </c>
    </row>
    <row r="24" customFormat="false" ht="15" hidden="false" customHeight="false" outlineLevel="0" collapsed="false">
      <c r="A24" s="20" t="n">
        <v>7</v>
      </c>
      <c r="B24" s="4" t="s">
        <v>188</v>
      </c>
      <c r="C24" s="20" t="s">
        <v>179</v>
      </c>
      <c r="D24" s="20" t="s">
        <v>180</v>
      </c>
      <c r="E24" s="20" t="s">
        <v>179</v>
      </c>
      <c r="F24" s="20" t="s">
        <v>179</v>
      </c>
      <c r="G24" s="20" t="s">
        <v>182</v>
      </c>
      <c r="H24" s="20" t="s">
        <v>182</v>
      </c>
    </row>
    <row r="26" customFormat="false" ht="23.85" hidden="false" customHeight="false" outlineLevel="0" collapsed="false">
      <c r="A26" s="18" t="s">
        <v>138</v>
      </c>
      <c r="B26" s="18" t="s">
        <v>189</v>
      </c>
      <c r="C26" s="18" t="s">
        <v>190</v>
      </c>
      <c r="D26" s="18" t="s">
        <v>191</v>
      </c>
      <c r="E26" s="18" t="s">
        <v>192</v>
      </c>
    </row>
    <row r="27" customFormat="false" ht="15" hidden="false" customHeight="false" outlineLevel="0" collapsed="false">
      <c r="A27" s="20" t="n">
        <v>1</v>
      </c>
      <c r="B27" s="4" t="s">
        <v>193</v>
      </c>
      <c r="C27" s="10" t="n">
        <f aca="false">Jumlah_Anggota</f>
        <v>4</v>
      </c>
      <c r="D27" s="4" t="s">
        <v>194</v>
      </c>
      <c r="E27" s="4" t="s">
        <v>195</v>
      </c>
    </row>
    <row r="28" customFormat="false" ht="15" hidden="false" customHeight="false" outlineLevel="0" collapsed="false">
      <c r="A28" s="20" t="n">
        <v>2</v>
      </c>
      <c r="B28" s="4" t="s">
        <v>196</v>
      </c>
      <c r="C28" s="10" t="n">
        <f aca="false">Jumlah_Anggota</f>
        <v>4</v>
      </c>
      <c r="D28" s="4" t="s">
        <v>197</v>
      </c>
      <c r="E28" s="4" t="s">
        <v>198</v>
      </c>
    </row>
    <row r="29" customFormat="false" ht="15" hidden="false" customHeight="false" outlineLevel="0" collapsed="false">
      <c r="A29" s="20" t="n">
        <v>3</v>
      </c>
      <c r="B29" s="4" t="s">
        <v>199</v>
      </c>
      <c r="C29" s="10" t="n">
        <f aca="false">Jumlah_Anggota</f>
        <v>4</v>
      </c>
      <c r="D29" s="4" t="s">
        <v>200</v>
      </c>
      <c r="E29" s="4" t="s">
        <v>201</v>
      </c>
    </row>
    <row r="30" customFormat="false" ht="15" hidden="false" customHeight="false" outlineLevel="0" collapsed="false">
      <c r="A30" s="20" t="n">
        <v>4</v>
      </c>
      <c r="B30" s="4" t="s">
        <v>202</v>
      </c>
      <c r="C30" s="23" t="n">
        <v>1</v>
      </c>
      <c r="D30" s="4" t="s">
        <v>203</v>
      </c>
      <c r="E30" s="4" t="s">
        <v>201</v>
      </c>
    </row>
    <row r="31" customFormat="false" ht="15" hidden="false" customHeight="false" outlineLevel="0" collapsed="false">
      <c r="A31" s="20" t="n">
        <v>5</v>
      </c>
      <c r="B31" s="4" t="s">
        <v>204</v>
      </c>
      <c r="C31" s="23" t="n">
        <v>4</v>
      </c>
      <c r="D31" s="4" t="s">
        <v>205</v>
      </c>
      <c r="E31" s="4" t="s">
        <v>206</v>
      </c>
    </row>
    <row r="32" customFormat="false" ht="15" hidden="false" customHeight="false" outlineLevel="0" collapsed="false">
      <c r="A32" s="20" t="n">
        <v>6</v>
      </c>
      <c r="B32" s="4" t="s">
        <v>207</v>
      </c>
      <c r="C32" s="23" t="n">
        <v>1</v>
      </c>
      <c r="D32" s="4" t="s">
        <v>208</v>
      </c>
      <c r="E32" s="4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9A1F"/>
    <pageSetUpPr fitToPage="false"/>
  </sheetPr>
  <dimension ref="A1:R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11"/>
  </cols>
  <sheetData>
    <row r="1" customFormat="false" ht="19.7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5" customFormat="false" ht="42" hidden="false" customHeight="true" outlineLevel="0" collapsed="false">
      <c r="A5" s="18" t="s">
        <v>52</v>
      </c>
      <c r="B5" s="18" t="s">
        <v>53</v>
      </c>
      <c r="C5" s="18" t="s">
        <v>54</v>
      </c>
      <c r="D5" s="18" t="s">
        <v>212</v>
      </c>
      <c r="E5" s="18" t="s">
        <v>213</v>
      </c>
      <c r="F5" s="18" t="s">
        <v>214</v>
      </c>
      <c r="G5" s="18" t="s">
        <v>215</v>
      </c>
      <c r="H5" s="18" t="s">
        <v>216</v>
      </c>
      <c r="I5" s="18" t="s">
        <v>173</v>
      </c>
      <c r="J5" s="18" t="s">
        <v>174</v>
      </c>
      <c r="K5" s="18" t="s">
        <v>175</v>
      </c>
      <c r="L5" s="18" t="s">
        <v>176</v>
      </c>
      <c r="M5" s="18" t="s">
        <v>57</v>
      </c>
      <c r="N5" s="18" t="s">
        <v>217</v>
      </c>
      <c r="O5" s="18" t="s">
        <v>218</v>
      </c>
      <c r="P5" s="18" t="s">
        <v>219</v>
      </c>
      <c r="Q5" s="18" t="s">
        <v>220</v>
      </c>
      <c r="R5" s="18" t="s">
        <v>221</v>
      </c>
    </row>
    <row r="6" customFormat="false" ht="15" hidden="false" customHeight="false" outlineLevel="0" collapsed="false">
      <c r="A6" s="20" t="s">
        <v>64</v>
      </c>
      <c r="B6" s="4" t="s">
        <v>65</v>
      </c>
      <c r="C6" s="20" t="n">
        <v>1</v>
      </c>
      <c r="D6" s="32" t="n">
        <v>3</v>
      </c>
      <c r="E6" s="32" t="n">
        <v>4</v>
      </c>
      <c r="F6" s="32" t="n">
        <v>6</v>
      </c>
      <c r="G6" s="33" t="n">
        <f aca="false">(D6+4*E6+F6)/6</f>
        <v>4.16666666666667</v>
      </c>
      <c r="H6" s="33" t="n">
        <f aca="false">(F6-D6)/6</f>
        <v>0.5</v>
      </c>
      <c r="I6" s="7" t="n">
        <v>1</v>
      </c>
      <c r="J6" s="7" t="n">
        <v>1</v>
      </c>
      <c r="K6" s="7" t="n">
        <v>1</v>
      </c>
      <c r="L6" s="7" t="n">
        <v>1</v>
      </c>
      <c r="M6" s="10" t="n">
        <f aca="false">SUM(I6:L6)</f>
        <v>4</v>
      </c>
      <c r="N6" s="10" t="n">
        <f aca="false">ROUNDUP(G6/M6,0)</f>
        <v>2</v>
      </c>
      <c r="O6" s="34" t="n">
        <f aca="false">IF(I6=1,$G6/$M6,0)</f>
        <v>1.04166666666667</v>
      </c>
      <c r="P6" s="34" t="n">
        <f aca="false">IF(J6=1,$G6/$M6,0)</f>
        <v>1.04166666666667</v>
      </c>
      <c r="Q6" s="34" t="n">
        <f aca="false">IF(K6=1,$G6/$M6,0)</f>
        <v>1.04166666666667</v>
      </c>
      <c r="R6" s="34" t="n">
        <f aca="false">IF(L6=1,$G6/$M6,0)</f>
        <v>1.04166666666667</v>
      </c>
    </row>
    <row r="7" customFormat="false" ht="15" hidden="false" customHeight="false" outlineLevel="0" collapsed="false">
      <c r="A7" s="20" t="s">
        <v>67</v>
      </c>
      <c r="B7" s="4" t="s">
        <v>68</v>
      </c>
      <c r="C7" s="20" t="n">
        <v>1</v>
      </c>
      <c r="D7" s="32" t="n">
        <v>1</v>
      </c>
      <c r="E7" s="32" t="n">
        <v>1.5</v>
      </c>
      <c r="F7" s="32" t="n">
        <v>2.5</v>
      </c>
      <c r="G7" s="33" t="n">
        <f aca="false">(D7+4*E7+F7)/6</f>
        <v>1.58333333333333</v>
      </c>
      <c r="H7" s="33" t="n">
        <f aca="false">(F7-D7)/6</f>
        <v>0.25</v>
      </c>
      <c r="I7" s="7" t="n">
        <v>0</v>
      </c>
      <c r="J7" s="7" t="n">
        <v>0</v>
      </c>
      <c r="K7" s="7" t="n">
        <v>0</v>
      </c>
      <c r="L7" s="7" t="n">
        <v>1</v>
      </c>
      <c r="M7" s="10" t="n">
        <f aca="false">SUM(I7:L7)</f>
        <v>1</v>
      </c>
      <c r="N7" s="10" t="n">
        <f aca="false">ROUNDUP(G7/M7,0)</f>
        <v>2</v>
      </c>
      <c r="O7" s="34" t="n">
        <f aca="false">IF(I7=1,$G7/$M7,0)</f>
        <v>0</v>
      </c>
      <c r="P7" s="34" t="n">
        <f aca="false">IF(J7=1,$G7/$M7,0)</f>
        <v>0</v>
      </c>
      <c r="Q7" s="34" t="n">
        <f aca="false">IF(K7=1,$G7/$M7,0)</f>
        <v>0</v>
      </c>
      <c r="R7" s="34" t="n">
        <f aca="false">IF(L7=1,$G7/$M7,0)</f>
        <v>1.58333333333333</v>
      </c>
    </row>
    <row r="8" customFormat="false" ht="15" hidden="false" customHeight="false" outlineLevel="0" collapsed="false">
      <c r="A8" s="20" t="s">
        <v>71</v>
      </c>
      <c r="B8" s="4" t="s">
        <v>72</v>
      </c>
      <c r="C8" s="20" t="n">
        <v>1</v>
      </c>
      <c r="D8" s="32" t="n">
        <v>1</v>
      </c>
      <c r="E8" s="32" t="n">
        <v>1.5</v>
      </c>
      <c r="F8" s="32" t="n">
        <v>2.5</v>
      </c>
      <c r="G8" s="33" t="n">
        <f aca="false">(D8+4*E8+F8)/6</f>
        <v>1.58333333333333</v>
      </c>
      <c r="H8" s="33" t="n">
        <f aca="false">(F8-D8)/6</f>
        <v>0.25</v>
      </c>
      <c r="I8" s="7" t="n">
        <v>0</v>
      </c>
      <c r="J8" s="7" t="n">
        <v>0</v>
      </c>
      <c r="K8" s="7" t="n">
        <v>0</v>
      </c>
      <c r="L8" s="7" t="n">
        <v>1</v>
      </c>
      <c r="M8" s="10" t="n">
        <f aca="false">SUM(I8:L8)</f>
        <v>1</v>
      </c>
      <c r="N8" s="10" t="n">
        <f aca="false">ROUNDUP(G8/M8,0)</f>
        <v>2</v>
      </c>
      <c r="O8" s="34" t="n">
        <f aca="false">IF(I8=1,$G8/$M8,0)</f>
        <v>0</v>
      </c>
      <c r="P8" s="34" t="n">
        <f aca="false">IF(J8=1,$G8/$M8,0)</f>
        <v>0</v>
      </c>
      <c r="Q8" s="34" t="n">
        <f aca="false">IF(K8=1,$G8/$M8,0)</f>
        <v>0</v>
      </c>
      <c r="R8" s="34" t="n">
        <f aca="false">IF(L8=1,$G8/$M8,0)</f>
        <v>1.58333333333333</v>
      </c>
    </row>
    <row r="9" customFormat="false" ht="15" hidden="false" customHeight="false" outlineLevel="0" collapsed="false">
      <c r="A9" s="20" t="s">
        <v>73</v>
      </c>
      <c r="B9" s="4" t="s">
        <v>74</v>
      </c>
      <c r="C9" s="20" t="n">
        <v>1</v>
      </c>
      <c r="D9" s="32" t="n">
        <v>1</v>
      </c>
      <c r="E9" s="32" t="n">
        <v>1.5</v>
      </c>
      <c r="F9" s="32" t="n">
        <v>3</v>
      </c>
      <c r="G9" s="33" t="n">
        <f aca="false">(D9+4*E9+F9)/6</f>
        <v>1.66666666666667</v>
      </c>
      <c r="H9" s="33" t="n">
        <f aca="false">(F9-D9)/6</f>
        <v>0.333333333333333</v>
      </c>
      <c r="I9" s="7" t="n">
        <v>0</v>
      </c>
      <c r="J9" s="7" t="n">
        <v>0</v>
      </c>
      <c r="K9" s="7" t="n">
        <v>1</v>
      </c>
      <c r="L9" s="7" t="n">
        <v>0</v>
      </c>
      <c r="M9" s="10" t="n">
        <f aca="false">SUM(I9:L9)</f>
        <v>1</v>
      </c>
      <c r="N9" s="10" t="n">
        <f aca="false">ROUNDUP(G9/M9,0)</f>
        <v>2</v>
      </c>
      <c r="O9" s="34" t="n">
        <f aca="false">IF(I9=1,$G9/$M9,0)</f>
        <v>0</v>
      </c>
      <c r="P9" s="34" t="n">
        <f aca="false">IF(J9=1,$G9/$M9,0)</f>
        <v>0</v>
      </c>
      <c r="Q9" s="34" t="n">
        <f aca="false">IF(K9=1,$G9/$M9,0)</f>
        <v>1.66666666666667</v>
      </c>
      <c r="R9" s="34" t="n">
        <f aca="false">IF(L9=1,$G9/$M9,0)</f>
        <v>0</v>
      </c>
    </row>
    <row r="10" customFormat="false" ht="15" hidden="false" customHeight="false" outlineLevel="0" collapsed="false">
      <c r="A10" s="20" t="s">
        <v>75</v>
      </c>
      <c r="B10" s="4" t="s">
        <v>76</v>
      </c>
      <c r="C10" s="20" t="n">
        <v>2</v>
      </c>
      <c r="D10" s="32" t="n">
        <v>1</v>
      </c>
      <c r="E10" s="32" t="n">
        <v>1.5</v>
      </c>
      <c r="F10" s="32" t="n">
        <v>2.5</v>
      </c>
      <c r="G10" s="33" t="n">
        <f aca="false">(D10+4*E10+F10)/6</f>
        <v>1.58333333333333</v>
      </c>
      <c r="H10" s="33" t="n">
        <f aca="false">(F10-D10)/6</f>
        <v>0.25</v>
      </c>
      <c r="I10" s="7" t="n">
        <v>0</v>
      </c>
      <c r="J10" s="7" t="n">
        <v>1</v>
      </c>
      <c r="K10" s="7" t="n">
        <v>0</v>
      </c>
      <c r="L10" s="7" t="n">
        <v>0</v>
      </c>
      <c r="M10" s="10" t="n">
        <f aca="false">SUM(I10:L10)</f>
        <v>1</v>
      </c>
      <c r="N10" s="10" t="n">
        <f aca="false">ROUNDUP(G10/M10,0)</f>
        <v>2</v>
      </c>
      <c r="O10" s="34" t="n">
        <f aca="false">IF(I10=1,$G10/$M10,0)</f>
        <v>0</v>
      </c>
      <c r="P10" s="34" t="n">
        <f aca="false">IF(J10=1,$G10/$M10,0)</f>
        <v>1.58333333333333</v>
      </c>
      <c r="Q10" s="34" t="n">
        <f aca="false">IF(K10=1,$G10/$M10,0)</f>
        <v>0</v>
      </c>
      <c r="R10" s="34" t="n">
        <f aca="false">IF(L10=1,$G10/$M10,0)</f>
        <v>0</v>
      </c>
    </row>
    <row r="11" customFormat="false" ht="15" hidden="false" customHeight="false" outlineLevel="0" collapsed="false">
      <c r="A11" s="20" t="s">
        <v>77</v>
      </c>
      <c r="B11" s="4" t="s">
        <v>78</v>
      </c>
      <c r="C11" s="20" t="n">
        <v>2</v>
      </c>
      <c r="D11" s="32" t="n">
        <v>2</v>
      </c>
      <c r="E11" s="32" t="n">
        <v>3</v>
      </c>
      <c r="F11" s="32" t="n">
        <v>5</v>
      </c>
      <c r="G11" s="33" t="n">
        <f aca="false">(D11+4*E11+F11)/6</f>
        <v>3.16666666666667</v>
      </c>
      <c r="H11" s="33" t="n">
        <f aca="false">(F11-D11)/6</f>
        <v>0.5</v>
      </c>
      <c r="I11" s="7" t="n">
        <v>0</v>
      </c>
      <c r="J11" s="7" t="n">
        <v>1</v>
      </c>
      <c r="K11" s="7" t="n">
        <v>0</v>
      </c>
      <c r="L11" s="7" t="n">
        <v>0</v>
      </c>
      <c r="M11" s="10" t="n">
        <f aca="false">SUM(I11:L11)</f>
        <v>1</v>
      </c>
      <c r="N11" s="10" t="n">
        <f aca="false">ROUNDUP(G11/M11,0)</f>
        <v>4</v>
      </c>
      <c r="O11" s="34" t="n">
        <f aca="false">IF(I11=1,$G11/$M11,0)</f>
        <v>0</v>
      </c>
      <c r="P11" s="34" t="n">
        <f aca="false">IF(J11=1,$G11/$M11,0)</f>
        <v>3.16666666666667</v>
      </c>
      <c r="Q11" s="34" t="n">
        <f aca="false">IF(K11=1,$G11/$M11,0)</f>
        <v>0</v>
      </c>
      <c r="R11" s="34" t="n">
        <f aca="false">IF(L11=1,$G11/$M11,0)</f>
        <v>0</v>
      </c>
    </row>
    <row r="12" customFormat="false" ht="15" hidden="false" customHeight="false" outlineLevel="0" collapsed="false">
      <c r="A12" s="20" t="s">
        <v>79</v>
      </c>
      <c r="B12" s="4" t="s">
        <v>80</v>
      </c>
      <c r="C12" s="20" t="n">
        <v>2</v>
      </c>
      <c r="D12" s="32" t="n">
        <v>2</v>
      </c>
      <c r="E12" s="32" t="n">
        <v>3</v>
      </c>
      <c r="F12" s="32" t="n">
        <v>4</v>
      </c>
      <c r="G12" s="33" t="n">
        <f aca="false">(D12+4*E12+F12)/6</f>
        <v>3</v>
      </c>
      <c r="H12" s="33" t="n">
        <f aca="false">(F12-D12)/6</f>
        <v>0.333333333333333</v>
      </c>
      <c r="I12" s="7" t="n">
        <v>0</v>
      </c>
      <c r="J12" s="7" t="n">
        <v>0</v>
      </c>
      <c r="K12" s="7" t="n">
        <v>1</v>
      </c>
      <c r="L12" s="7" t="n">
        <v>0</v>
      </c>
      <c r="M12" s="10" t="n">
        <f aca="false">SUM(I12:L12)</f>
        <v>1</v>
      </c>
      <c r="N12" s="10" t="n">
        <f aca="false">ROUNDUP(G12/M12,0)</f>
        <v>3</v>
      </c>
      <c r="O12" s="34" t="n">
        <f aca="false">IF(I12=1,$G12/$M12,0)</f>
        <v>0</v>
      </c>
      <c r="P12" s="34" t="n">
        <f aca="false">IF(J12=1,$G12/$M12,0)</f>
        <v>0</v>
      </c>
      <c r="Q12" s="34" t="n">
        <f aca="false">IF(K12=1,$G12/$M12,0)</f>
        <v>3</v>
      </c>
      <c r="R12" s="34" t="n">
        <f aca="false">IF(L12=1,$G12/$M12,0)</f>
        <v>0</v>
      </c>
    </row>
    <row r="13" customFormat="false" ht="15" hidden="false" customHeight="false" outlineLevel="0" collapsed="false">
      <c r="A13" s="20" t="s">
        <v>81</v>
      </c>
      <c r="B13" s="4" t="s">
        <v>82</v>
      </c>
      <c r="C13" s="20" t="n">
        <v>2</v>
      </c>
      <c r="D13" s="32" t="n">
        <v>0.5</v>
      </c>
      <c r="E13" s="32" t="n">
        <v>1</v>
      </c>
      <c r="F13" s="32" t="n">
        <v>2</v>
      </c>
      <c r="G13" s="33" t="n">
        <f aca="false">(D13+4*E13+F13)/6</f>
        <v>1.08333333333333</v>
      </c>
      <c r="H13" s="33" t="n">
        <f aca="false">(F13-D13)/6</f>
        <v>0.25</v>
      </c>
      <c r="I13" s="7" t="n">
        <v>1</v>
      </c>
      <c r="J13" s="7" t="n">
        <v>1</v>
      </c>
      <c r="K13" s="7" t="n">
        <v>1</v>
      </c>
      <c r="L13" s="7" t="n">
        <v>1</v>
      </c>
      <c r="M13" s="10" t="n">
        <f aca="false">SUM(I13:L13)</f>
        <v>4</v>
      </c>
      <c r="N13" s="10" t="n">
        <f aca="false">ROUNDUP(G13/M13,0)</f>
        <v>1</v>
      </c>
      <c r="O13" s="34" t="n">
        <f aca="false">IF(I13=1,$G13/$M13,0)</f>
        <v>0.270833333333333</v>
      </c>
      <c r="P13" s="34" t="n">
        <f aca="false">IF(J13=1,$G13/$M13,0)</f>
        <v>0.270833333333333</v>
      </c>
      <c r="Q13" s="34" t="n">
        <f aca="false">IF(K13=1,$G13/$M13,0)</f>
        <v>0.270833333333333</v>
      </c>
      <c r="R13" s="34" t="n">
        <f aca="false">IF(L13=1,$G13/$M13,0)</f>
        <v>0.270833333333333</v>
      </c>
    </row>
    <row r="14" customFormat="false" ht="15" hidden="false" customHeight="false" outlineLevel="0" collapsed="false">
      <c r="A14" s="20" t="s">
        <v>83</v>
      </c>
      <c r="B14" s="4" t="s">
        <v>84</v>
      </c>
      <c r="C14" s="20" t="n">
        <v>3</v>
      </c>
      <c r="D14" s="32" t="n">
        <v>2</v>
      </c>
      <c r="E14" s="32" t="n">
        <v>3</v>
      </c>
      <c r="F14" s="32" t="n">
        <v>5</v>
      </c>
      <c r="G14" s="33" t="n">
        <f aca="false">(D14+4*E14+F14)/6</f>
        <v>3.16666666666667</v>
      </c>
      <c r="H14" s="33" t="n">
        <f aca="false">(F14-D14)/6</f>
        <v>0.5</v>
      </c>
      <c r="I14" s="7" t="n">
        <v>0</v>
      </c>
      <c r="J14" s="7" t="n">
        <v>0</v>
      </c>
      <c r="K14" s="7" t="n">
        <v>1</v>
      </c>
      <c r="L14" s="7" t="n">
        <v>0</v>
      </c>
      <c r="M14" s="10" t="n">
        <f aca="false">SUM(I14:L14)</f>
        <v>1</v>
      </c>
      <c r="N14" s="10" t="n">
        <f aca="false">ROUNDUP(G14/M14,0)</f>
        <v>4</v>
      </c>
      <c r="O14" s="34" t="n">
        <f aca="false">IF(I14=1,$G14/$M14,0)</f>
        <v>0</v>
      </c>
      <c r="P14" s="34" t="n">
        <f aca="false">IF(J14=1,$G14/$M14,0)</f>
        <v>0</v>
      </c>
      <c r="Q14" s="34" t="n">
        <f aca="false">IF(K14=1,$G14/$M14,0)</f>
        <v>3.16666666666667</v>
      </c>
      <c r="R14" s="34" t="n">
        <f aca="false">IF(L14=1,$G14/$M14,0)</f>
        <v>0</v>
      </c>
    </row>
    <row r="15" customFormat="false" ht="15" hidden="false" customHeight="false" outlineLevel="0" collapsed="false">
      <c r="A15" s="20" t="s">
        <v>86</v>
      </c>
      <c r="B15" s="4" t="s">
        <v>87</v>
      </c>
      <c r="C15" s="20" t="n">
        <v>3</v>
      </c>
      <c r="D15" s="32" t="n">
        <v>3</v>
      </c>
      <c r="E15" s="32" t="n">
        <v>4</v>
      </c>
      <c r="F15" s="32" t="n">
        <v>7</v>
      </c>
      <c r="G15" s="33" t="n">
        <f aca="false">(D15+4*E15+F15)/6</f>
        <v>4.33333333333333</v>
      </c>
      <c r="H15" s="33" t="n">
        <f aca="false">(F15-D15)/6</f>
        <v>0.666666666666667</v>
      </c>
      <c r="I15" s="7" t="n">
        <v>1</v>
      </c>
      <c r="J15" s="7" t="n">
        <v>0</v>
      </c>
      <c r="K15" s="7" t="n">
        <v>0</v>
      </c>
      <c r="L15" s="7" t="n">
        <v>0</v>
      </c>
      <c r="M15" s="10" t="n">
        <f aca="false">SUM(I15:L15)</f>
        <v>1</v>
      </c>
      <c r="N15" s="10" t="n">
        <f aca="false">ROUNDUP(G15/M15,0)</f>
        <v>5</v>
      </c>
      <c r="O15" s="34" t="n">
        <f aca="false">IF(I15=1,$G15/$M15,0)</f>
        <v>4.33333333333333</v>
      </c>
      <c r="P15" s="34" t="n">
        <f aca="false">IF(J15=1,$G15/$M15,0)</f>
        <v>0</v>
      </c>
      <c r="Q15" s="34" t="n">
        <f aca="false">IF(K15=1,$G15/$M15,0)</f>
        <v>0</v>
      </c>
      <c r="R15" s="34" t="n">
        <f aca="false">IF(L15=1,$G15/$M15,0)</f>
        <v>0</v>
      </c>
    </row>
    <row r="16" customFormat="false" ht="15" hidden="false" customHeight="false" outlineLevel="0" collapsed="false">
      <c r="A16" s="20" t="s">
        <v>88</v>
      </c>
      <c r="B16" s="4" t="s">
        <v>89</v>
      </c>
      <c r="C16" s="20" t="n">
        <v>3</v>
      </c>
      <c r="D16" s="32" t="n">
        <v>1</v>
      </c>
      <c r="E16" s="32" t="n">
        <v>2</v>
      </c>
      <c r="F16" s="32" t="n">
        <v>3</v>
      </c>
      <c r="G16" s="33" t="n">
        <f aca="false">(D16+4*E16+F16)/6</f>
        <v>2</v>
      </c>
      <c r="H16" s="33" t="n">
        <f aca="false">(F16-D16)/6</f>
        <v>0.333333333333333</v>
      </c>
      <c r="I16" s="7" t="n">
        <v>1</v>
      </c>
      <c r="J16" s="7" t="n">
        <v>0</v>
      </c>
      <c r="K16" s="7" t="n">
        <v>0</v>
      </c>
      <c r="L16" s="7" t="n">
        <v>0</v>
      </c>
      <c r="M16" s="10" t="n">
        <f aca="false">SUM(I16:L16)</f>
        <v>1</v>
      </c>
      <c r="N16" s="10" t="n">
        <f aca="false">ROUNDUP(G16/M16,0)</f>
        <v>2</v>
      </c>
      <c r="O16" s="34" t="n">
        <f aca="false">IF(I16=1,$G16/$M16,0)</f>
        <v>2</v>
      </c>
      <c r="P16" s="34" t="n">
        <f aca="false">IF(J16=1,$G16/$M16,0)</f>
        <v>0</v>
      </c>
      <c r="Q16" s="34" t="n">
        <f aca="false">IF(K16=1,$G16/$M16,0)</f>
        <v>0</v>
      </c>
      <c r="R16" s="34" t="n">
        <f aca="false">IF(L16=1,$G16/$M16,0)</f>
        <v>0</v>
      </c>
    </row>
    <row r="17" customFormat="false" ht="15" hidden="false" customHeight="false" outlineLevel="0" collapsed="false">
      <c r="A17" s="20" t="s">
        <v>90</v>
      </c>
      <c r="B17" s="4" t="s">
        <v>91</v>
      </c>
      <c r="C17" s="20" t="n">
        <v>4</v>
      </c>
      <c r="D17" s="32" t="n">
        <v>2</v>
      </c>
      <c r="E17" s="32" t="n">
        <v>3</v>
      </c>
      <c r="F17" s="32" t="n">
        <v>4</v>
      </c>
      <c r="G17" s="33" t="n">
        <f aca="false">(D17+4*E17+F17)/6</f>
        <v>3</v>
      </c>
      <c r="H17" s="33" t="n">
        <f aca="false">(F17-D17)/6</f>
        <v>0.333333333333333</v>
      </c>
      <c r="I17" s="7" t="n">
        <v>0</v>
      </c>
      <c r="J17" s="7" t="n">
        <v>1</v>
      </c>
      <c r="K17" s="7" t="n">
        <v>0</v>
      </c>
      <c r="L17" s="7" t="n">
        <v>0</v>
      </c>
      <c r="M17" s="10" t="n">
        <f aca="false">SUM(I17:L17)</f>
        <v>1</v>
      </c>
      <c r="N17" s="10" t="n">
        <f aca="false">ROUNDUP(G17/M17,0)</f>
        <v>3</v>
      </c>
      <c r="O17" s="34" t="n">
        <f aca="false">IF(I17=1,$G17/$M17,0)</f>
        <v>0</v>
      </c>
      <c r="P17" s="34" t="n">
        <f aca="false">IF(J17=1,$G17/$M17,0)</f>
        <v>3</v>
      </c>
      <c r="Q17" s="34" t="n">
        <f aca="false">IF(K17=1,$G17/$M17,0)</f>
        <v>0</v>
      </c>
      <c r="R17" s="34" t="n">
        <f aca="false">IF(L17=1,$G17/$M17,0)</f>
        <v>0</v>
      </c>
    </row>
    <row r="18" customFormat="false" ht="15" hidden="false" customHeight="false" outlineLevel="0" collapsed="false">
      <c r="A18" s="20" t="s">
        <v>92</v>
      </c>
      <c r="B18" s="4" t="s">
        <v>93</v>
      </c>
      <c r="C18" s="20" t="n">
        <v>4</v>
      </c>
      <c r="D18" s="32" t="n">
        <v>2</v>
      </c>
      <c r="E18" s="32" t="n">
        <v>3</v>
      </c>
      <c r="F18" s="32" t="n">
        <v>5</v>
      </c>
      <c r="G18" s="33" t="n">
        <f aca="false">(D18+4*E18+F18)/6</f>
        <v>3.16666666666667</v>
      </c>
      <c r="H18" s="33" t="n">
        <f aca="false">(F18-D18)/6</f>
        <v>0.5</v>
      </c>
      <c r="I18" s="7" t="n">
        <v>1</v>
      </c>
      <c r="J18" s="7" t="n">
        <v>0</v>
      </c>
      <c r="K18" s="7" t="n">
        <v>0</v>
      </c>
      <c r="L18" s="7" t="n">
        <v>0</v>
      </c>
      <c r="M18" s="10" t="n">
        <f aca="false">SUM(I18:L18)</f>
        <v>1</v>
      </c>
      <c r="N18" s="10" t="n">
        <f aca="false">ROUNDUP(G18/M18,0)</f>
        <v>4</v>
      </c>
      <c r="O18" s="34" t="n">
        <f aca="false">IF(I18=1,$G18/$M18,0)</f>
        <v>3.16666666666667</v>
      </c>
      <c r="P18" s="34" t="n">
        <f aca="false">IF(J18=1,$G18/$M18,0)</f>
        <v>0</v>
      </c>
      <c r="Q18" s="34" t="n">
        <f aca="false">IF(K18=1,$G18/$M18,0)</f>
        <v>0</v>
      </c>
      <c r="R18" s="34" t="n">
        <f aca="false">IF(L18=1,$G18/$M18,0)</f>
        <v>0</v>
      </c>
    </row>
    <row r="19" customFormat="false" ht="15" hidden="false" customHeight="false" outlineLevel="0" collapsed="false">
      <c r="A19" s="20" t="s">
        <v>94</v>
      </c>
      <c r="B19" s="4" t="s">
        <v>95</v>
      </c>
      <c r="C19" s="20" t="n">
        <v>4</v>
      </c>
      <c r="D19" s="32" t="n">
        <v>2</v>
      </c>
      <c r="E19" s="32" t="n">
        <v>3</v>
      </c>
      <c r="F19" s="32" t="n">
        <v>5</v>
      </c>
      <c r="G19" s="33" t="n">
        <f aca="false">(D19+4*E19+F19)/6</f>
        <v>3.16666666666667</v>
      </c>
      <c r="H19" s="33" t="n">
        <f aca="false">(F19-D19)/6</f>
        <v>0.5</v>
      </c>
      <c r="I19" s="7" t="n">
        <v>0</v>
      </c>
      <c r="J19" s="7" t="n">
        <v>0</v>
      </c>
      <c r="K19" s="7" t="n">
        <v>0</v>
      </c>
      <c r="L19" s="7" t="n">
        <v>1</v>
      </c>
      <c r="M19" s="10" t="n">
        <f aca="false">SUM(I19:L19)</f>
        <v>1</v>
      </c>
      <c r="N19" s="10" t="n">
        <f aca="false">ROUNDUP(G19/M19,0)</f>
        <v>4</v>
      </c>
      <c r="O19" s="34" t="n">
        <f aca="false">IF(I19=1,$G19/$M19,0)</f>
        <v>0</v>
      </c>
      <c r="P19" s="34" t="n">
        <f aca="false">IF(J19=1,$G19/$M19,0)</f>
        <v>0</v>
      </c>
      <c r="Q19" s="34" t="n">
        <f aca="false">IF(K19=1,$G19/$M19,0)</f>
        <v>0</v>
      </c>
      <c r="R19" s="34" t="n">
        <f aca="false">IF(L19=1,$G19/$M19,0)</f>
        <v>3.16666666666667</v>
      </c>
    </row>
    <row r="20" customFormat="false" ht="15" hidden="false" customHeight="false" outlineLevel="0" collapsed="false">
      <c r="A20" s="20" t="s">
        <v>97</v>
      </c>
      <c r="B20" s="4" t="s">
        <v>98</v>
      </c>
      <c r="C20" s="20" t="n">
        <v>5</v>
      </c>
      <c r="D20" s="32" t="n">
        <v>4</v>
      </c>
      <c r="E20" s="32" t="n">
        <v>6</v>
      </c>
      <c r="F20" s="32" t="n">
        <v>9</v>
      </c>
      <c r="G20" s="33" t="n">
        <f aca="false">(D20+4*E20+F20)/6</f>
        <v>6.16666666666667</v>
      </c>
      <c r="H20" s="33" t="n">
        <f aca="false">(F20-D20)/6</f>
        <v>0.833333333333333</v>
      </c>
      <c r="I20" s="7" t="n">
        <v>1</v>
      </c>
      <c r="J20" s="7" t="n">
        <v>0</v>
      </c>
      <c r="K20" s="7" t="n">
        <v>0</v>
      </c>
      <c r="L20" s="7" t="n">
        <v>0</v>
      </c>
      <c r="M20" s="10" t="n">
        <f aca="false">SUM(I20:L20)</f>
        <v>1</v>
      </c>
      <c r="N20" s="10" t="n">
        <f aca="false">ROUNDUP(G20/M20,0)</f>
        <v>7</v>
      </c>
      <c r="O20" s="34" t="n">
        <f aca="false">IF(I20=1,$G20/$M20,0)</f>
        <v>6.16666666666667</v>
      </c>
      <c r="P20" s="34" t="n">
        <f aca="false">IF(J20=1,$G20/$M20,0)</f>
        <v>0</v>
      </c>
      <c r="Q20" s="34" t="n">
        <f aca="false">IF(K20=1,$G20/$M20,0)</f>
        <v>0</v>
      </c>
      <c r="R20" s="34" t="n">
        <f aca="false">IF(L20=1,$G20/$M20,0)</f>
        <v>0</v>
      </c>
    </row>
    <row r="21" customFormat="false" ht="15" hidden="false" customHeight="false" outlineLevel="0" collapsed="false">
      <c r="A21" s="20" t="s">
        <v>99</v>
      </c>
      <c r="B21" s="4" t="s">
        <v>100</v>
      </c>
      <c r="C21" s="20" t="n">
        <v>5</v>
      </c>
      <c r="D21" s="32" t="n">
        <v>3</v>
      </c>
      <c r="E21" s="32" t="n">
        <v>5</v>
      </c>
      <c r="F21" s="32" t="n">
        <v>8</v>
      </c>
      <c r="G21" s="33" t="n">
        <f aca="false">(D21+4*E21+F21)/6</f>
        <v>5.16666666666667</v>
      </c>
      <c r="H21" s="33" t="n">
        <f aca="false">(F21-D21)/6</f>
        <v>0.833333333333333</v>
      </c>
      <c r="I21" s="7" t="n">
        <v>0</v>
      </c>
      <c r="J21" s="7" t="n">
        <v>1</v>
      </c>
      <c r="K21" s="7" t="n">
        <v>0</v>
      </c>
      <c r="L21" s="7" t="n">
        <v>0</v>
      </c>
      <c r="M21" s="10" t="n">
        <f aca="false">SUM(I21:L21)</f>
        <v>1</v>
      </c>
      <c r="N21" s="10" t="n">
        <f aca="false">ROUNDUP(G21/M21,0)</f>
        <v>6</v>
      </c>
      <c r="O21" s="34" t="n">
        <f aca="false">IF(I21=1,$G21/$M21,0)</f>
        <v>0</v>
      </c>
      <c r="P21" s="34" t="n">
        <f aca="false">IF(J21=1,$G21/$M21,0)</f>
        <v>5.16666666666667</v>
      </c>
      <c r="Q21" s="34" t="n">
        <f aca="false">IF(K21=1,$G21/$M21,0)</f>
        <v>0</v>
      </c>
      <c r="R21" s="34" t="n">
        <f aca="false">IF(L21=1,$G21/$M21,0)</f>
        <v>0</v>
      </c>
    </row>
    <row r="22" customFormat="false" ht="15" hidden="false" customHeight="false" outlineLevel="0" collapsed="false">
      <c r="A22" s="20" t="s">
        <v>101</v>
      </c>
      <c r="B22" s="4" t="s">
        <v>102</v>
      </c>
      <c r="C22" s="20" t="n">
        <v>5</v>
      </c>
      <c r="D22" s="32" t="n">
        <v>3</v>
      </c>
      <c r="E22" s="32" t="n">
        <v>5</v>
      </c>
      <c r="F22" s="32" t="n">
        <v>8</v>
      </c>
      <c r="G22" s="33" t="n">
        <f aca="false">(D22+4*E22+F22)/6</f>
        <v>5.16666666666667</v>
      </c>
      <c r="H22" s="33" t="n">
        <f aca="false">(F22-D22)/6</f>
        <v>0.833333333333333</v>
      </c>
      <c r="I22" s="7" t="n">
        <v>0</v>
      </c>
      <c r="J22" s="7" t="n">
        <v>0</v>
      </c>
      <c r="K22" s="7" t="n">
        <v>1</v>
      </c>
      <c r="L22" s="7" t="n">
        <v>0</v>
      </c>
      <c r="M22" s="10" t="n">
        <f aca="false">SUM(I22:L22)</f>
        <v>1</v>
      </c>
      <c r="N22" s="10" t="n">
        <f aca="false">ROUNDUP(G22/M22,0)</f>
        <v>6</v>
      </c>
      <c r="O22" s="34" t="n">
        <f aca="false">IF(I22=1,$G22/$M22,0)</f>
        <v>0</v>
      </c>
      <c r="P22" s="34" t="n">
        <f aca="false">IF(J22=1,$G22/$M22,0)</f>
        <v>0</v>
      </c>
      <c r="Q22" s="34" t="n">
        <f aca="false">IF(K22=1,$G22/$M22,0)</f>
        <v>5.16666666666667</v>
      </c>
      <c r="R22" s="34" t="n">
        <f aca="false">IF(L22=1,$G22/$M22,0)</f>
        <v>0</v>
      </c>
    </row>
    <row r="23" customFormat="false" ht="15" hidden="false" customHeight="false" outlineLevel="0" collapsed="false">
      <c r="A23" s="20" t="s">
        <v>103</v>
      </c>
      <c r="B23" s="4" t="s">
        <v>104</v>
      </c>
      <c r="C23" s="20" t="n">
        <v>5</v>
      </c>
      <c r="D23" s="32" t="n">
        <v>4</v>
      </c>
      <c r="E23" s="32" t="n">
        <v>6</v>
      </c>
      <c r="F23" s="32" t="n">
        <v>10</v>
      </c>
      <c r="G23" s="33" t="n">
        <f aca="false">(D23+4*E23+F23)/6</f>
        <v>6.33333333333333</v>
      </c>
      <c r="H23" s="33" t="n">
        <f aca="false">(F23-D23)/6</f>
        <v>1</v>
      </c>
      <c r="I23" s="7" t="n">
        <v>0</v>
      </c>
      <c r="J23" s="7" t="n">
        <v>0</v>
      </c>
      <c r="K23" s="7" t="n">
        <v>0</v>
      </c>
      <c r="L23" s="7" t="n">
        <v>1</v>
      </c>
      <c r="M23" s="10" t="n">
        <f aca="false">SUM(I23:L23)</f>
        <v>1</v>
      </c>
      <c r="N23" s="10" t="n">
        <f aca="false">ROUNDUP(G23/M23,0)</f>
        <v>7</v>
      </c>
      <c r="O23" s="34" t="n">
        <f aca="false">IF(I23=1,$G23/$M23,0)</f>
        <v>0</v>
      </c>
      <c r="P23" s="34" t="n">
        <f aca="false">IF(J23=1,$G23/$M23,0)</f>
        <v>0</v>
      </c>
      <c r="Q23" s="34" t="n">
        <f aca="false">IF(K23=1,$G23/$M23,0)</f>
        <v>0</v>
      </c>
      <c r="R23" s="34" t="n">
        <f aca="false">IF(L23=1,$G23/$M23,0)</f>
        <v>6.33333333333333</v>
      </c>
    </row>
    <row r="24" customFormat="false" ht="15" hidden="false" customHeight="false" outlineLevel="0" collapsed="false">
      <c r="A24" s="20" t="s">
        <v>105</v>
      </c>
      <c r="B24" s="4" t="s">
        <v>106</v>
      </c>
      <c r="C24" s="20" t="n">
        <v>6</v>
      </c>
      <c r="D24" s="32" t="n">
        <v>1</v>
      </c>
      <c r="E24" s="32" t="n">
        <v>2</v>
      </c>
      <c r="F24" s="32" t="n">
        <v>3</v>
      </c>
      <c r="G24" s="33" t="n">
        <f aca="false">(D24+4*E24+F24)/6</f>
        <v>2</v>
      </c>
      <c r="H24" s="33" t="n">
        <f aca="false">(F24-D24)/6</f>
        <v>0.333333333333333</v>
      </c>
      <c r="I24" s="7" t="n">
        <v>0</v>
      </c>
      <c r="J24" s="7" t="n">
        <v>1</v>
      </c>
      <c r="K24" s="7" t="n">
        <v>0</v>
      </c>
      <c r="L24" s="7" t="n">
        <v>0</v>
      </c>
      <c r="M24" s="10" t="n">
        <f aca="false">SUM(I24:L24)</f>
        <v>1</v>
      </c>
      <c r="N24" s="10" t="n">
        <f aca="false">ROUNDUP(G24/M24,0)</f>
        <v>2</v>
      </c>
      <c r="O24" s="34" t="n">
        <f aca="false">IF(I24=1,$G24/$M24,0)</f>
        <v>0</v>
      </c>
      <c r="P24" s="34" t="n">
        <f aca="false">IF(J24=1,$G24/$M24,0)</f>
        <v>2</v>
      </c>
      <c r="Q24" s="34" t="n">
        <f aca="false">IF(K24=1,$G24/$M24,0)</f>
        <v>0</v>
      </c>
      <c r="R24" s="34" t="n">
        <f aca="false">IF(L24=1,$G24/$M24,0)</f>
        <v>0</v>
      </c>
    </row>
    <row r="25" customFormat="false" ht="15" hidden="false" customHeight="false" outlineLevel="0" collapsed="false">
      <c r="A25" s="20" t="s">
        <v>107</v>
      </c>
      <c r="B25" s="4" t="s">
        <v>108</v>
      </c>
      <c r="C25" s="20" t="n">
        <v>6</v>
      </c>
      <c r="D25" s="32" t="n">
        <v>2</v>
      </c>
      <c r="E25" s="32" t="n">
        <v>3</v>
      </c>
      <c r="F25" s="32" t="n">
        <v>5</v>
      </c>
      <c r="G25" s="33" t="n">
        <f aca="false">(D25+4*E25+F25)/6</f>
        <v>3.16666666666667</v>
      </c>
      <c r="H25" s="33" t="n">
        <f aca="false">(F25-D25)/6</f>
        <v>0.5</v>
      </c>
      <c r="I25" s="7" t="n">
        <v>1</v>
      </c>
      <c r="J25" s="7" t="n">
        <v>1</v>
      </c>
      <c r="K25" s="7" t="n">
        <v>1</v>
      </c>
      <c r="L25" s="7" t="n">
        <v>1</v>
      </c>
      <c r="M25" s="10" t="n">
        <f aca="false">SUM(I25:L25)</f>
        <v>4</v>
      </c>
      <c r="N25" s="10" t="n">
        <f aca="false">ROUNDUP(G25/M25,0)</f>
        <v>1</v>
      </c>
      <c r="O25" s="34" t="n">
        <f aca="false">IF(I25=1,$G25/$M25,0)</f>
        <v>0.791666666666667</v>
      </c>
      <c r="P25" s="34" t="n">
        <f aca="false">IF(J25=1,$G25/$M25,0)</f>
        <v>0.791666666666667</v>
      </c>
      <c r="Q25" s="34" t="n">
        <f aca="false">IF(K25=1,$G25/$M25,0)</f>
        <v>0.791666666666667</v>
      </c>
      <c r="R25" s="34" t="n">
        <f aca="false">IF(L25=1,$G25/$M25,0)</f>
        <v>0.791666666666667</v>
      </c>
    </row>
    <row r="26" customFormat="false" ht="15" hidden="false" customHeight="false" outlineLevel="0" collapsed="false">
      <c r="A26" s="20" t="s">
        <v>109</v>
      </c>
      <c r="B26" s="4" t="s">
        <v>110</v>
      </c>
      <c r="C26" s="20" t="n">
        <v>6</v>
      </c>
      <c r="D26" s="32" t="n">
        <v>1</v>
      </c>
      <c r="E26" s="32" t="n">
        <v>2</v>
      </c>
      <c r="F26" s="32" t="n">
        <v>3</v>
      </c>
      <c r="G26" s="33" t="n">
        <f aca="false">(D26+4*E26+F26)/6</f>
        <v>2</v>
      </c>
      <c r="H26" s="33" t="n">
        <f aca="false">(F26-D26)/6</f>
        <v>0.333333333333333</v>
      </c>
      <c r="I26" s="7" t="n">
        <v>0</v>
      </c>
      <c r="J26" s="7" t="n">
        <v>0</v>
      </c>
      <c r="K26" s="7" t="n">
        <v>1</v>
      </c>
      <c r="L26" s="7" t="n">
        <v>0</v>
      </c>
      <c r="M26" s="10" t="n">
        <f aca="false">SUM(I26:L26)</f>
        <v>1</v>
      </c>
      <c r="N26" s="10" t="n">
        <f aca="false">ROUNDUP(G26/M26,0)</f>
        <v>2</v>
      </c>
      <c r="O26" s="34" t="n">
        <f aca="false">IF(I26=1,$G26/$M26,0)</f>
        <v>0</v>
      </c>
      <c r="P26" s="34" t="n">
        <f aca="false">IF(J26=1,$G26/$M26,0)</f>
        <v>0</v>
      </c>
      <c r="Q26" s="34" t="n">
        <f aca="false">IF(K26=1,$G26/$M26,0)</f>
        <v>2</v>
      </c>
      <c r="R26" s="34" t="n">
        <f aca="false">IF(L26=1,$G26/$M26,0)</f>
        <v>0</v>
      </c>
    </row>
    <row r="27" customFormat="false" ht="15" hidden="false" customHeight="false" outlineLevel="0" collapsed="false">
      <c r="A27" s="20" t="s">
        <v>111</v>
      </c>
      <c r="B27" s="4" t="s">
        <v>112</v>
      </c>
      <c r="C27" s="20" t="n">
        <v>6</v>
      </c>
      <c r="D27" s="32" t="n">
        <v>2</v>
      </c>
      <c r="E27" s="32" t="n">
        <v>4</v>
      </c>
      <c r="F27" s="32" t="n">
        <v>7</v>
      </c>
      <c r="G27" s="33" t="n">
        <f aca="false">(D27+4*E27+F27)/6</f>
        <v>4.16666666666667</v>
      </c>
      <c r="H27" s="33" t="n">
        <f aca="false">(F27-D27)/6</f>
        <v>0.833333333333333</v>
      </c>
      <c r="I27" s="7" t="n">
        <v>1</v>
      </c>
      <c r="J27" s="7" t="n">
        <v>0</v>
      </c>
      <c r="K27" s="7" t="n">
        <v>0</v>
      </c>
      <c r="L27" s="7" t="n">
        <v>0</v>
      </c>
      <c r="M27" s="10" t="n">
        <f aca="false">SUM(I27:L27)</f>
        <v>1</v>
      </c>
      <c r="N27" s="10" t="n">
        <f aca="false">ROUNDUP(G27/M27,0)</f>
        <v>5</v>
      </c>
      <c r="O27" s="34" t="n">
        <f aca="false">IF(I27=1,$G27/$M27,0)</f>
        <v>4.16666666666667</v>
      </c>
      <c r="P27" s="34" t="n">
        <f aca="false">IF(J27=1,$G27/$M27,0)</f>
        <v>0</v>
      </c>
      <c r="Q27" s="34" t="n">
        <f aca="false">IF(K27=1,$G27/$M27,0)</f>
        <v>0</v>
      </c>
      <c r="R27" s="34" t="n">
        <f aca="false">IF(L27=1,$G27/$M27,0)</f>
        <v>0</v>
      </c>
    </row>
    <row r="28" customFormat="false" ht="15" hidden="false" customHeight="false" outlineLevel="0" collapsed="false">
      <c r="A28" s="20" t="s">
        <v>113</v>
      </c>
      <c r="B28" s="4" t="s">
        <v>114</v>
      </c>
      <c r="C28" s="20" t="n">
        <v>7</v>
      </c>
      <c r="D28" s="32" t="n">
        <v>2</v>
      </c>
      <c r="E28" s="32" t="n">
        <v>3</v>
      </c>
      <c r="F28" s="32" t="n">
        <v>5</v>
      </c>
      <c r="G28" s="33" t="n">
        <f aca="false">(D28+4*E28+F28)/6</f>
        <v>3.16666666666667</v>
      </c>
      <c r="H28" s="33" t="n">
        <f aca="false">(F28-D28)/6</f>
        <v>0.5</v>
      </c>
      <c r="I28" s="7" t="n">
        <v>0</v>
      </c>
      <c r="J28" s="7" t="n">
        <v>0</v>
      </c>
      <c r="K28" s="7" t="n">
        <v>0</v>
      </c>
      <c r="L28" s="7" t="n">
        <v>1</v>
      </c>
      <c r="M28" s="10" t="n">
        <f aca="false">SUM(I28:L28)</f>
        <v>1</v>
      </c>
      <c r="N28" s="10" t="n">
        <f aca="false">ROUNDUP(G28/M28,0)</f>
        <v>4</v>
      </c>
      <c r="O28" s="34" t="n">
        <f aca="false">IF(I28=1,$G28/$M28,0)</f>
        <v>0</v>
      </c>
      <c r="P28" s="34" t="n">
        <f aca="false">IF(J28=1,$G28/$M28,0)</f>
        <v>0</v>
      </c>
      <c r="Q28" s="34" t="n">
        <f aca="false">IF(K28=1,$G28/$M28,0)</f>
        <v>0</v>
      </c>
      <c r="R28" s="34" t="n">
        <f aca="false">IF(L28=1,$G28/$M28,0)</f>
        <v>3.16666666666667</v>
      </c>
    </row>
    <row r="29" customFormat="false" ht="15" hidden="false" customHeight="false" outlineLevel="0" collapsed="false">
      <c r="A29" s="20" t="s">
        <v>115</v>
      </c>
      <c r="B29" s="4" t="s">
        <v>116</v>
      </c>
      <c r="C29" s="20" t="n">
        <v>7</v>
      </c>
      <c r="D29" s="32" t="n">
        <v>3</v>
      </c>
      <c r="E29" s="32" t="n">
        <v>5</v>
      </c>
      <c r="F29" s="32" t="n">
        <v>7</v>
      </c>
      <c r="G29" s="33" t="n">
        <f aca="false">(D29+4*E29+F29)/6</f>
        <v>5</v>
      </c>
      <c r="H29" s="33" t="n">
        <f aca="false">(F29-D29)/6</f>
        <v>0.666666666666667</v>
      </c>
      <c r="I29" s="7" t="n">
        <v>0</v>
      </c>
      <c r="J29" s="7" t="n">
        <v>1</v>
      </c>
      <c r="K29" s="7" t="n">
        <v>0</v>
      </c>
      <c r="L29" s="7" t="n">
        <v>0</v>
      </c>
      <c r="M29" s="10" t="n">
        <f aca="false">SUM(I29:L29)</f>
        <v>1</v>
      </c>
      <c r="N29" s="10" t="n">
        <f aca="false">ROUNDUP(G29/M29,0)</f>
        <v>5</v>
      </c>
      <c r="O29" s="34" t="n">
        <f aca="false">IF(I29=1,$G29/$M29,0)</f>
        <v>0</v>
      </c>
      <c r="P29" s="34" t="n">
        <f aca="false">IF(J29=1,$G29/$M29,0)</f>
        <v>5</v>
      </c>
      <c r="Q29" s="34" t="n">
        <f aca="false">IF(K29=1,$G29/$M29,0)</f>
        <v>0</v>
      </c>
      <c r="R29" s="34" t="n">
        <f aca="false">IF(L29=1,$G29/$M29,0)</f>
        <v>0</v>
      </c>
    </row>
    <row r="30" customFormat="false" ht="15" hidden="false" customHeight="false" outlineLevel="0" collapsed="false">
      <c r="A30" s="20" t="s">
        <v>117</v>
      </c>
      <c r="B30" s="4" t="s">
        <v>118</v>
      </c>
      <c r="C30" s="20" t="n">
        <v>7</v>
      </c>
      <c r="D30" s="32" t="n">
        <v>2</v>
      </c>
      <c r="E30" s="32" t="n">
        <v>3</v>
      </c>
      <c r="F30" s="32" t="n">
        <v>4</v>
      </c>
      <c r="G30" s="33" t="n">
        <f aca="false">(D30+4*E30+F30)/6</f>
        <v>3</v>
      </c>
      <c r="H30" s="33" t="n">
        <f aca="false">(F30-D30)/6</f>
        <v>0.333333333333333</v>
      </c>
      <c r="I30" s="7" t="n">
        <v>0</v>
      </c>
      <c r="J30" s="7" t="n">
        <v>0</v>
      </c>
      <c r="K30" s="7" t="n">
        <v>1</v>
      </c>
      <c r="L30" s="7" t="n">
        <v>0</v>
      </c>
      <c r="M30" s="10" t="n">
        <f aca="false">SUM(I30:L30)</f>
        <v>1</v>
      </c>
      <c r="N30" s="10" t="n">
        <f aca="false">ROUNDUP(G30/M30,0)</f>
        <v>3</v>
      </c>
      <c r="O30" s="34" t="n">
        <f aca="false">IF(I30=1,$G30/$M30,0)</f>
        <v>0</v>
      </c>
      <c r="P30" s="34" t="n">
        <f aca="false">IF(J30=1,$G30/$M30,0)</f>
        <v>0</v>
      </c>
      <c r="Q30" s="34" t="n">
        <f aca="false">IF(K30=1,$G30/$M30,0)</f>
        <v>3</v>
      </c>
      <c r="R30" s="34" t="n">
        <f aca="false">IF(L30=1,$G30/$M30,0)</f>
        <v>0</v>
      </c>
    </row>
    <row r="31" customFormat="false" ht="15" hidden="false" customHeight="false" outlineLevel="0" collapsed="false">
      <c r="A31" s="20" t="s">
        <v>119</v>
      </c>
      <c r="B31" s="4" t="s">
        <v>120</v>
      </c>
      <c r="C31" s="20" t="n">
        <v>7</v>
      </c>
      <c r="D31" s="32" t="n">
        <v>1</v>
      </c>
      <c r="E31" s="32" t="n">
        <v>1.5</v>
      </c>
      <c r="F31" s="32" t="n">
        <v>3</v>
      </c>
      <c r="G31" s="33" t="n">
        <f aca="false">(D31+4*E31+F31)/6</f>
        <v>1.66666666666667</v>
      </c>
      <c r="H31" s="33" t="n">
        <f aca="false">(F31-D31)/6</f>
        <v>0.333333333333333</v>
      </c>
      <c r="I31" s="7" t="n">
        <v>1</v>
      </c>
      <c r="J31" s="7" t="n">
        <v>0</v>
      </c>
      <c r="K31" s="7" t="n">
        <v>0</v>
      </c>
      <c r="L31" s="7" t="n">
        <v>0</v>
      </c>
      <c r="M31" s="10" t="n">
        <f aca="false">SUM(I31:L31)</f>
        <v>1</v>
      </c>
      <c r="N31" s="10" t="n">
        <f aca="false">ROUNDUP(G31/M31,0)</f>
        <v>2</v>
      </c>
      <c r="O31" s="34" t="n">
        <f aca="false">IF(I31=1,$G31/$M31,0)</f>
        <v>1.66666666666667</v>
      </c>
      <c r="P31" s="34" t="n">
        <f aca="false">IF(J31=1,$G31/$M31,0)</f>
        <v>0</v>
      </c>
      <c r="Q31" s="34" t="n">
        <f aca="false">IF(K31=1,$G31/$M31,0)</f>
        <v>0</v>
      </c>
      <c r="R31" s="34" t="n">
        <f aca="false">IF(L31=1,$G31/$M31,0)</f>
        <v>0</v>
      </c>
    </row>
    <row r="32" customFormat="false" ht="15" hidden="false" customHeight="false" outlineLevel="0" collapsed="false">
      <c r="B32" s="3" t="s">
        <v>160</v>
      </c>
      <c r="G32" s="35" t="n">
        <f aca="false">SUM(G6:G31)</f>
        <v>83.6666666666667</v>
      </c>
      <c r="O32" s="35" t="n">
        <f aca="false">SUM(O6:O31)</f>
        <v>23.6041666666667</v>
      </c>
      <c r="P32" s="35" t="n">
        <f aca="false">SUM(P6:P31)</f>
        <v>22.0208333333333</v>
      </c>
      <c r="Q32" s="35" t="n">
        <f aca="false">SUM(Q6:Q31)</f>
        <v>20.1041666666667</v>
      </c>
      <c r="R32" s="35" t="n">
        <f aca="false">SUM(R6:R31)</f>
        <v>17.9375</v>
      </c>
    </row>
    <row r="34" customFormat="false" ht="15" hidden="false" customHeight="false" outlineLevel="0" collapsed="false">
      <c r="B34" s="3" t="s">
        <v>222</v>
      </c>
      <c r="C34" s="5" t="s">
        <v>54</v>
      </c>
      <c r="D34" s="5" t="s">
        <v>56</v>
      </c>
      <c r="E34" s="5" t="s">
        <v>53</v>
      </c>
    </row>
    <row r="35" customFormat="false" ht="15" hidden="false" customHeight="false" outlineLevel="0" collapsed="false">
      <c r="B35" s="4" t="s">
        <v>178</v>
      </c>
      <c r="C35" s="20" t="n">
        <v>1</v>
      </c>
      <c r="D35" s="33" t="n">
        <f aca="false">SUMIF($C$6:$C$31,C35,$G$6:$G$31)</f>
        <v>9</v>
      </c>
      <c r="E35" s="20" t="n">
        <f aca="false">COUNTIF($C$6:$C$31,C35)</f>
        <v>4</v>
      </c>
    </row>
    <row r="36" customFormat="false" ht="15" hidden="false" customHeight="false" outlineLevel="0" collapsed="false">
      <c r="B36" s="4" t="s">
        <v>183</v>
      </c>
      <c r="C36" s="20" t="n">
        <v>2</v>
      </c>
      <c r="D36" s="33" t="n">
        <f aca="false">SUMIF($C$6:$C$31,C36,$G$6:$G$31)</f>
        <v>8.83333333333333</v>
      </c>
      <c r="E36" s="20" t="n">
        <f aca="false">COUNTIF($C$6:$C$31,C36)</f>
        <v>4</v>
      </c>
    </row>
    <row r="37" customFormat="false" ht="15" hidden="false" customHeight="false" outlineLevel="0" collapsed="false">
      <c r="B37" s="4" t="s">
        <v>184</v>
      </c>
      <c r="C37" s="20" t="n">
        <v>3</v>
      </c>
      <c r="D37" s="33" t="n">
        <f aca="false">SUMIF($C$6:$C$31,C37,$G$6:$G$31)</f>
        <v>9.5</v>
      </c>
      <c r="E37" s="20" t="n">
        <f aca="false">COUNTIF($C$6:$C$31,C37)</f>
        <v>3</v>
      </c>
    </row>
    <row r="38" customFormat="false" ht="15" hidden="false" customHeight="false" outlineLevel="0" collapsed="false">
      <c r="B38" s="4" t="s">
        <v>185</v>
      </c>
      <c r="C38" s="20" t="n">
        <v>4</v>
      </c>
      <c r="D38" s="33" t="n">
        <f aca="false">SUMIF($C$6:$C$31,C38,$G$6:$G$31)</f>
        <v>9.33333333333333</v>
      </c>
      <c r="E38" s="20" t="n">
        <f aca="false">COUNTIF($C$6:$C$31,C38)</f>
        <v>3</v>
      </c>
    </row>
    <row r="39" customFormat="false" ht="15" hidden="false" customHeight="false" outlineLevel="0" collapsed="false">
      <c r="B39" s="4" t="s">
        <v>186</v>
      </c>
      <c r="C39" s="20" t="n">
        <v>5</v>
      </c>
      <c r="D39" s="33" t="n">
        <f aca="false">SUMIF($C$6:$C$31,C39,$G$6:$G$31)</f>
        <v>22.8333333333333</v>
      </c>
      <c r="E39" s="20" t="n">
        <f aca="false">COUNTIF($C$6:$C$31,C39)</f>
        <v>4</v>
      </c>
    </row>
    <row r="40" customFormat="false" ht="15" hidden="false" customHeight="false" outlineLevel="0" collapsed="false">
      <c r="B40" s="4" t="s">
        <v>187</v>
      </c>
      <c r="C40" s="20" t="n">
        <v>6</v>
      </c>
      <c r="D40" s="33" t="n">
        <f aca="false">SUMIF($C$6:$C$31,C40,$G$6:$G$31)</f>
        <v>11.3333333333333</v>
      </c>
      <c r="E40" s="20" t="n">
        <f aca="false">COUNTIF($C$6:$C$31,C40)</f>
        <v>4</v>
      </c>
    </row>
    <row r="41" customFormat="false" ht="15" hidden="false" customHeight="false" outlineLevel="0" collapsed="false">
      <c r="B41" s="4" t="s">
        <v>188</v>
      </c>
      <c r="C41" s="20" t="n">
        <v>7</v>
      </c>
      <c r="D41" s="33" t="n">
        <f aca="false">SUMIF($C$6:$C$31,C41,$G$6:$G$31)</f>
        <v>12.8333333333333</v>
      </c>
      <c r="E41" s="20" t="n">
        <f aca="false">COUNTIF($C$6:$C$31,C41)</f>
        <v>4</v>
      </c>
    </row>
    <row r="43" customFormat="false" ht="15" hidden="false" customHeight="false" outlineLevel="0" collapsed="false">
      <c r="B43" s="3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9A1F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8" min="6" style="0" width="18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5" customFormat="false" ht="15" hidden="false" customHeight="false" outlineLevel="0" collapsed="false">
      <c r="A5" s="18" t="s">
        <v>138</v>
      </c>
      <c r="B5" s="18" t="s">
        <v>226</v>
      </c>
      <c r="C5" s="18" t="s">
        <v>227</v>
      </c>
      <c r="D5" s="18" t="s">
        <v>228</v>
      </c>
      <c r="E5" s="18" t="s">
        <v>190</v>
      </c>
      <c r="F5" s="18" t="s">
        <v>191</v>
      </c>
      <c r="G5" s="18" t="s">
        <v>229</v>
      </c>
      <c r="H5" s="18" t="s">
        <v>230</v>
      </c>
      <c r="I5" s="18" t="s">
        <v>10</v>
      </c>
    </row>
    <row r="6" customFormat="false" ht="15" hidden="false" customHeight="false" outlineLevel="0" collapsed="false">
      <c r="A6" s="20" t="n">
        <v>1</v>
      </c>
      <c r="B6" s="4" t="s">
        <v>231</v>
      </c>
      <c r="C6" s="4" t="s">
        <v>232</v>
      </c>
      <c r="D6" s="20" t="s">
        <v>233</v>
      </c>
      <c r="E6" s="37" t="n">
        <f aca="false">'Effort Manday'!O32</f>
        <v>23.6041666666667</v>
      </c>
      <c r="F6" s="20" t="s">
        <v>234</v>
      </c>
      <c r="G6" s="38" t="n">
        <f aca="false">Tarif_Manday</f>
        <v>75000</v>
      </c>
      <c r="H6" s="38" t="n">
        <f aca="false">E6*G6</f>
        <v>1770312.5</v>
      </c>
      <c r="I6" s="4" t="s">
        <v>235</v>
      </c>
    </row>
    <row r="7" customFormat="false" ht="15" hidden="false" customHeight="false" outlineLevel="0" collapsed="false">
      <c r="A7" s="20" t="n">
        <v>2</v>
      </c>
      <c r="B7" s="4" t="s">
        <v>236</v>
      </c>
      <c r="C7" s="4" t="s">
        <v>232</v>
      </c>
      <c r="D7" s="20" t="s">
        <v>233</v>
      </c>
      <c r="E7" s="37" t="n">
        <f aca="false">'Effort Manday'!P32</f>
        <v>22.0208333333333</v>
      </c>
      <c r="F7" s="20" t="s">
        <v>234</v>
      </c>
      <c r="G7" s="38" t="n">
        <f aca="false">Tarif_Manday</f>
        <v>75000</v>
      </c>
      <c r="H7" s="38" t="n">
        <f aca="false">E7*G7</f>
        <v>1651562.5</v>
      </c>
      <c r="I7" s="4" t="s">
        <v>235</v>
      </c>
    </row>
    <row r="8" customFormat="false" ht="15" hidden="false" customHeight="false" outlineLevel="0" collapsed="false">
      <c r="A8" s="20" t="n">
        <v>3</v>
      </c>
      <c r="B8" s="4" t="s">
        <v>237</v>
      </c>
      <c r="C8" s="4" t="s">
        <v>232</v>
      </c>
      <c r="D8" s="20" t="s">
        <v>233</v>
      </c>
      <c r="E8" s="37" t="n">
        <f aca="false">'Effort Manday'!Q32</f>
        <v>20.1041666666667</v>
      </c>
      <c r="F8" s="20" t="s">
        <v>234</v>
      </c>
      <c r="G8" s="38" t="n">
        <f aca="false">Tarif_Manday</f>
        <v>75000</v>
      </c>
      <c r="H8" s="38" t="n">
        <f aca="false">E8*G8</f>
        <v>1507812.5</v>
      </c>
      <c r="I8" s="4" t="s">
        <v>235</v>
      </c>
    </row>
    <row r="9" customFormat="false" ht="15" hidden="false" customHeight="false" outlineLevel="0" collapsed="false">
      <c r="A9" s="20" t="n">
        <v>4</v>
      </c>
      <c r="B9" s="4" t="s">
        <v>238</v>
      </c>
      <c r="C9" s="4" t="s">
        <v>232</v>
      </c>
      <c r="D9" s="20" t="s">
        <v>233</v>
      </c>
      <c r="E9" s="37" t="n">
        <f aca="false">'Effort Manday'!R32</f>
        <v>17.9375</v>
      </c>
      <c r="F9" s="20" t="s">
        <v>234</v>
      </c>
      <c r="G9" s="38" t="n">
        <f aca="false">Tarif_Manday</f>
        <v>75000</v>
      </c>
      <c r="H9" s="38" t="n">
        <f aca="false">E9*G9</f>
        <v>1345312.5</v>
      </c>
      <c r="I9" s="4" t="s">
        <v>235</v>
      </c>
    </row>
    <row r="10" customFormat="false" ht="15" hidden="false" customHeight="false" outlineLevel="0" collapsed="false">
      <c r="A10" s="20" t="n">
        <v>5</v>
      </c>
      <c r="B10" s="4" t="s">
        <v>239</v>
      </c>
      <c r="C10" s="4" t="s">
        <v>240</v>
      </c>
      <c r="D10" s="20" t="s">
        <v>233</v>
      </c>
      <c r="E10" s="39" t="n">
        <f aca="false">Jumlah_Anggota*Bulan_Proyek</f>
        <v>12</v>
      </c>
      <c r="F10" s="20" t="s">
        <v>241</v>
      </c>
      <c r="G10" s="40" t="n">
        <v>40000</v>
      </c>
      <c r="H10" s="38" t="n">
        <f aca="false">E10*G10</f>
        <v>480000</v>
      </c>
      <c r="I10" s="4" t="s">
        <v>242</v>
      </c>
    </row>
    <row r="11" customFormat="false" ht="15" hidden="false" customHeight="false" outlineLevel="0" collapsed="false">
      <c r="A11" s="20" t="n">
        <v>6</v>
      </c>
      <c r="B11" s="4" t="s">
        <v>243</v>
      </c>
      <c r="C11" s="4" t="s">
        <v>244</v>
      </c>
      <c r="D11" s="20" t="s">
        <v>245</v>
      </c>
      <c r="E11" s="39" t="n">
        <f aca="false">Jumlah_Anggota*Bulan_Proyek</f>
        <v>12</v>
      </c>
      <c r="F11" s="20" t="s">
        <v>246</v>
      </c>
      <c r="G11" s="40" t="n">
        <v>25000</v>
      </c>
      <c r="H11" s="38" t="n">
        <f aca="false">E11*G11</f>
        <v>300000</v>
      </c>
      <c r="I11" s="4" t="s">
        <v>247</v>
      </c>
    </row>
    <row r="12" customFormat="false" ht="15" hidden="false" customHeight="false" outlineLevel="0" collapsed="false">
      <c r="A12" s="20" t="n">
        <v>7</v>
      </c>
      <c r="B12" s="4" t="s">
        <v>248</v>
      </c>
      <c r="C12" s="4" t="s">
        <v>244</v>
      </c>
      <c r="D12" s="20" t="s">
        <v>245</v>
      </c>
      <c r="E12" s="39" t="n">
        <f aca="false">Jumlah_Anggota</f>
        <v>4</v>
      </c>
      <c r="F12" s="20" t="s">
        <v>200</v>
      </c>
      <c r="G12" s="40" t="n">
        <v>0</v>
      </c>
      <c r="H12" s="38" t="n">
        <f aca="false">E12*G12</f>
        <v>0</v>
      </c>
      <c r="I12" s="4" t="s">
        <v>249</v>
      </c>
    </row>
    <row r="13" customFormat="false" ht="15" hidden="false" customHeight="false" outlineLevel="0" collapsed="false">
      <c r="A13" s="20" t="n">
        <v>8</v>
      </c>
      <c r="B13" s="4" t="s">
        <v>250</v>
      </c>
      <c r="C13" s="4" t="s">
        <v>244</v>
      </c>
      <c r="D13" s="20" t="s">
        <v>245</v>
      </c>
      <c r="E13" s="41" t="n">
        <v>1</v>
      </c>
      <c r="F13" s="20" t="s">
        <v>251</v>
      </c>
      <c r="G13" s="40" t="n">
        <v>0</v>
      </c>
      <c r="H13" s="38" t="n">
        <f aca="false">E13*G13</f>
        <v>0</v>
      </c>
      <c r="I13" s="4" t="s">
        <v>249</v>
      </c>
    </row>
    <row r="14" customFormat="false" ht="15" hidden="false" customHeight="false" outlineLevel="0" collapsed="false">
      <c r="A14" s="20" t="n">
        <v>9</v>
      </c>
      <c r="B14" s="4" t="s">
        <v>252</v>
      </c>
      <c r="C14" s="4" t="s">
        <v>253</v>
      </c>
      <c r="D14" s="20" t="s">
        <v>245</v>
      </c>
      <c r="E14" s="41" t="n">
        <v>8</v>
      </c>
      <c r="F14" s="20" t="s">
        <v>254</v>
      </c>
      <c r="G14" s="40" t="n">
        <v>20000</v>
      </c>
      <c r="H14" s="38" t="n">
        <f aca="false">E14*G14</f>
        <v>160000</v>
      </c>
      <c r="I14" s="4" t="s">
        <v>255</v>
      </c>
    </row>
    <row r="15" customFormat="false" ht="15" hidden="false" customHeight="false" outlineLevel="0" collapsed="false">
      <c r="A15" s="20" t="n">
        <v>10</v>
      </c>
      <c r="B15" s="4" t="s">
        <v>256</v>
      </c>
      <c r="C15" s="4" t="s">
        <v>253</v>
      </c>
      <c r="D15" s="20" t="s">
        <v>245</v>
      </c>
      <c r="E15" s="41" t="n">
        <v>3</v>
      </c>
      <c r="F15" s="20" t="s">
        <v>257</v>
      </c>
      <c r="G15" s="40" t="n">
        <v>25000</v>
      </c>
      <c r="H15" s="38" t="n">
        <f aca="false">E15*G15</f>
        <v>75000</v>
      </c>
      <c r="I15" s="4" t="s">
        <v>258</v>
      </c>
    </row>
    <row r="16" customFormat="false" ht="15" hidden="false" customHeight="false" outlineLevel="0" collapsed="false">
      <c r="A16" s="20" t="n">
        <v>11</v>
      </c>
      <c r="B16" s="4" t="s">
        <v>259</v>
      </c>
      <c r="C16" s="4" t="s">
        <v>253</v>
      </c>
      <c r="D16" s="20" t="s">
        <v>245</v>
      </c>
      <c r="E16" s="41" t="n">
        <v>1</v>
      </c>
      <c r="F16" s="20" t="s">
        <v>260</v>
      </c>
      <c r="G16" s="40" t="n">
        <v>50000</v>
      </c>
      <c r="H16" s="38" t="n">
        <f aca="false">E16*G16</f>
        <v>50000</v>
      </c>
      <c r="I16" s="4" t="s">
        <v>258</v>
      </c>
    </row>
    <row r="17" customFormat="false" ht="15" hidden="false" customHeight="false" outlineLevel="0" collapsed="false">
      <c r="A17" s="20" t="n">
        <v>12</v>
      </c>
      <c r="B17" s="4" t="s">
        <v>261</v>
      </c>
      <c r="C17" s="4" t="s">
        <v>262</v>
      </c>
      <c r="D17" s="20" t="s">
        <v>233</v>
      </c>
      <c r="E17" s="29" t="n">
        <f aca="false">Overhead_Pct</f>
        <v>0.05</v>
      </c>
      <c r="F17" s="20" t="s">
        <v>263</v>
      </c>
      <c r="G17" s="38" t="n">
        <f aca="false">SUM(H6:H9)</f>
        <v>6275000</v>
      </c>
      <c r="H17" s="38" t="n">
        <f aca="false">E17*G17</f>
        <v>313750</v>
      </c>
      <c r="I17" s="4" t="s">
        <v>264</v>
      </c>
    </row>
    <row r="20" customFormat="false" ht="15" hidden="false" customHeight="false" outlineLevel="0" collapsed="false">
      <c r="B20" s="4" t="s">
        <v>265</v>
      </c>
      <c r="H20" s="38" t="n">
        <f aca="false">SUMIF($D$6:$D$17,"Tunai",$H$6:$H$17)</f>
        <v>585000</v>
      </c>
    </row>
    <row r="21" customFormat="false" ht="15" hidden="false" customHeight="false" outlineLevel="0" collapsed="false">
      <c r="B21" s="4" t="s">
        <v>266</v>
      </c>
      <c r="H21" s="38" t="n">
        <f aca="false">SUMIF($D$6:$D$17,"Nonkas",$H$6:$H$17)</f>
        <v>7068750</v>
      </c>
    </row>
    <row r="22" customFormat="false" ht="15" hidden="false" customHeight="false" outlineLevel="0" collapsed="false">
      <c r="B22" s="4" t="s">
        <v>267</v>
      </c>
      <c r="H22" s="38" t="n">
        <f aca="false">H20+H21</f>
        <v>7653750</v>
      </c>
    </row>
    <row r="23" customFormat="false" ht="15" hidden="false" customHeight="false" outlineLevel="0" collapsed="false">
      <c r="B23" s="4" t="s">
        <v>268</v>
      </c>
      <c r="H23" s="38" t="n">
        <f aca="false">Cadangan_Pct*H20</f>
        <v>58500</v>
      </c>
    </row>
    <row r="24" customFormat="false" ht="15" hidden="false" customHeight="false" outlineLevel="0" collapsed="false">
      <c r="B24" s="4" t="s">
        <v>269</v>
      </c>
      <c r="H24" s="38" t="n">
        <f aca="false">Cadangan_Pct*H21</f>
        <v>706875</v>
      </c>
    </row>
    <row r="26" customFormat="false" ht="15" hidden="false" customHeight="false" outlineLevel="0" collapsed="false">
      <c r="B26" s="3" t="s">
        <v>270</v>
      </c>
      <c r="H26" s="42" t="n">
        <f aca="false">H20+H23</f>
        <v>643500</v>
      </c>
    </row>
    <row r="27" customFormat="false" ht="15" hidden="false" customHeight="false" outlineLevel="0" collapsed="false">
      <c r="B27" s="3" t="s">
        <v>271</v>
      </c>
      <c r="H27" s="42" t="n">
        <f aca="false">H21+H24</f>
        <v>7775625</v>
      </c>
    </row>
    <row r="28" customFormat="false" ht="15" hidden="false" customHeight="false" outlineLevel="0" collapsed="false">
      <c r="B28" s="4" t="s">
        <v>272</v>
      </c>
      <c r="H28" s="38" t="n">
        <f aca="false">H26</f>
        <v>643500</v>
      </c>
    </row>
    <row r="29" customFormat="false" ht="15" hidden="false" customHeight="false" outlineLevel="0" collapsed="false">
      <c r="B29" s="3" t="s">
        <v>273</v>
      </c>
      <c r="H29" s="42" t="n">
        <f aca="false">H26+H27</f>
        <v>8419125</v>
      </c>
    </row>
    <row r="31" customFormat="false" ht="15" hidden="false" customHeight="false" outlineLevel="0" collapsed="false">
      <c r="B31" s="4" t="s">
        <v>274</v>
      </c>
      <c r="H31" s="12" t="str">
        <f aca="false">IF(ABS('Effort Manday'!G32*Tarif_Manday-SUM(H6:H9))&lt;1,"COCOK","BEDA")</f>
        <v>COCOK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9A1F"/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48"/>
    <col collapsed="false" customWidth="true" hidden="false" outlineLevel="0" max="10" min="10" style="0" width="10"/>
    <col collapsed="false" customWidth="true" hidden="false" outlineLevel="0" max="11" min="11" style="0" width="40"/>
    <col collapsed="false" customWidth="true" hidden="false" outlineLevel="0" max="12" min="12" style="0" width="10"/>
  </cols>
  <sheetData>
    <row r="1" customFormat="false" ht="19.7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5" customFormat="false" ht="31.5" hidden="false" customHeight="true" outlineLevel="0" collapsed="false">
      <c r="A5" s="18" t="s">
        <v>52</v>
      </c>
      <c r="B5" s="18" t="s">
        <v>277</v>
      </c>
      <c r="C5" s="18" t="s">
        <v>227</v>
      </c>
      <c r="D5" s="18" t="s">
        <v>278</v>
      </c>
      <c r="E5" s="18" t="s">
        <v>279</v>
      </c>
      <c r="F5" s="18" t="s">
        <v>280</v>
      </c>
      <c r="G5" s="18" t="s">
        <v>281</v>
      </c>
      <c r="H5" s="18" t="s">
        <v>282</v>
      </c>
      <c r="I5" s="18" t="s">
        <v>283</v>
      </c>
      <c r="J5" s="18" t="s">
        <v>284</v>
      </c>
      <c r="K5" s="18" t="s">
        <v>285</v>
      </c>
      <c r="L5" s="18" t="s">
        <v>63</v>
      </c>
    </row>
    <row r="6" customFormat="false" ht="42" hidden="false" customHeight="true" outlineLevel="0" collapsed="false">
      <c r="A6" s="20" t="s">
        <v>286</v>
      </c>
      <c r="B6" s="28" t="s">
        <v>287</v>
      </c>
      <c r="C6" s="4" t="s">
        <v>288</v>
      </c>
      <c r="D6" s="23" t="n">
        <v>4</v>
      </c>
      <c r="E6" s="23" t="n">
        <v>4</v>
      </c>
      <c r="F6" s="20" t="n">
        <f aca="false">D6*E6</f>
        <v>16</v>
      </c>
      <c r="G6" s="12" t="str">
        <f aca="false">IF(F6&gt;=15,"Tinggi",IF(F6&gt;=8,"Sedang","Rendah"))</f>
        <v>Tinggi</v>
      </c>
      <c r="H6" s="23" t="s">
        <v>289</v>
      </c>
      <c r="I6" s="28" t="s">
        <v>290</v>
      </c>
      <c r="J6" s="20" t="s">
        <v>175</v>
      </c>
      <c r="K6" s="28" t="s">
        <v>291</v>
      </c>
      <c r="L6" s="23" t="s">
        <v>292</v>
      </c>
    </row>
    <row r="7" customFormat="false" ht="42" hidden="false" customHeight="true" outlineLevel="0" collapsed="false">
      <c r="A7" s="20" t="s">
        <v>293</v>
      </c>
      <c r="B7" s="28" t="s">
        <v>294</v>
      </c>
      <c r="C7" s="4" t="s">
        <v>295</v>
      </c>
      <c r="D7" s="23" t="n">
        <v>3</v>
      </c>
      <c r="E7" s="23" t="n">
        <v>4</v>
      </c>
      <c r="F7" s="20" t="n">
        <f aca="false">D7*E7</f>
        <v>12</v>
      </c>
      <c r="G7" s="12" t="str">
        <f aca="false">IF(F7&gt;=15,"Tinggi",IF(F7&gt;=8,"Sedang","Rendah"))</f>
        <v>Sedang</v>
      </c>
      <c r="H7" s="23" t="s">
        <v>289</v>
      </c>
      <c r="I7" s="28" t="s">
        <v>296</v>
      </c>
      <c r="J7" s="20" t="s">
        <v>173</v>
      </c>
      <c r="K7" s="28" t="s">
        <v>297</v>
      </c>
      <c r="L7" s="23" t="s">
        <v>292</v>
      </c>
    </row>
    <row r="8" customFormat="false" ht="42" hidden="false" customHeight="true" outlineLevel="0" collapsed="false">
      <c r="A8" s="20" t="s">
        <v>298</v>
      </c>
      <c r="B8" s="28" t="s">
        <v>299</v>
      </c>
      <c r="C8" s="4" t="s">
        <v>300</v>
      </c>
      <c r="D8" s="23" t="n">
        <v>3</v>
      </c>
      <c r="E8" s="23" t="n">
        <v>4</v>
      </c>
      <c r="F8" s="20" t="n">
        <f aca="false">D8*E8</f>
        <v>12</v>
      </c>
      <c r="G8" s="12" t="str">
        <f aca="false">IF(F8&gt;=15,"Tinggi",IF(F8&gt;=8,"Sedang","Rendah"))</f>
        <v>Sedang</v>
      </c>
      <c r="H8" s="23" t="s">
        <v>289</v>
      </c>
      <c r="I8" s="28" t="s">
        <v>301</v>
      </c>
      <c r="J8" s="20" t="s">
        <v>176</v>
      </c>
      <c r="K8" s="28" t="s">
        <v>302</v>
      </c>
      <c r="L8" s="23" t="s">
        <v>292</v>
      </c>
    </row>
    <row r="9" customFormat="false" ht="42" hidden="false" customHeight="true" outlineLevel="0" collapsed="false">
      <c r="A9" s="20" t="s">
        <v>303</v>
      </c>
      <c r="B9" s="28" t="s">
        <v>304</v>
      </c>
      <c r="C9" s="4" t="s">
        <v>305</v>
      </c>
      <c r="D9" s="23" t="n">
        <v>3</v>
      </c>
      <c r="E9" s="23" t="n">
        <v>5</v>
      </c>
      <c r="F9" s="20" t="n">
        <f aca="false">D9*E9</f>
        <v>15</v>
      </c>
      <c r="G9" s="12" t="str">
        <f aca="false">IF(F9&gt;=15,"Tinggi",IF(F9&gt;=8,"Sedang","Rendah"))</f>
        <v>Tinggi</v>
      </c>
      <c r="H9" s="23" t="s">
        <v>306</v>
      </c>
      <c r="I9" s="28" t="s">
        <v>307</v>
      </c>
      <c r="J9" s="20" t="s">
        <v>176</v>
      </c>
      <c r="K9" s="28" t="s">
        <v>308</v>
      </c>
      <c r="L9" s="23" t="s">
        <v>292</v>
      </c>
    </row>
    <row r="10" customFormat="false" ht="42" hidden="false" customHeight="true" outlineLevel="0" collapsed="false">
      <c r="A10" s="20" t="s">
        <v>309</v>
      </c>
      <c r="B10" s="28" t="s">
        <v>310</v>
      </c>
      <c r="C10" s="4" t="s">
        <v>189</v>
      </c>
      <c r="D10" s="23" t="n">
        <v>4</v>
      </c>
      <c r="E10" s="23" t="n">
        <v>3</v>
      </c>
      <c r="F10" s="20" t="n">
        <f aca="false">D10*E10</f>
        <v>12</v>
      </c>
      <c r="G10" s="12" t="str">
        <f aca="false">IF(F10&gt;=15,"Tinggi",IF(F10&gt;=8,"Sedang","Rendah"))</f>
        <v>Sedang</v>
      </c>
      <c r="H10" s="23" t="s">
        <v>289</v>
      </c>
      <c r="I10" s="28" t="s">
        <v>311</v>
      </c>
      <c r="J10" s="20" t="s">
        <v>174</v>
      </c>
      <c r="K10" s="28" t="s">
        <v>312</v>
      </c>
      <c r="L10" s="23" t="s">
        <v>292</v>
      </c>
    </row>
    <row r="11" customFormat="false" ht="42" hidden="false" customHeight="true" outlineLevel="0" collapsed="false">
      <c r="A11" s="20" t="s">
        <v>313</v>
      </c>
      <c r="B11" s="28" t="s">
        <v>314</v>
      </c>
      <c r="C11" s="4" t="s">
        <v>315</v>
      </c>
      <c r="D11" s="23" t="n">
        <v>3</v>
      </c>
      <c r="E11" s="23" t="n">
        <v>3</v>
      </c>
      <c r="F11" s="20" t="n">
        <f aca="false">D11*E11</f>
        <v>9</v>
      </c>
      <c r="G11" s="12" t="str">
        <f aca="false">IF(F11&gt;=15,"Tinggi",IF(F11&gt;=8,"Sedang","Rendah"))</f>
        <v>Sedang</v>
      </c>
      <c r="H11" s="23" t="s">
        <v>289</v>
      </c>
      <c r="I11" s="28" t="s">
        <v>316</v>
      </c>
      <c r="J11" s="20" t="s">
        <v>174</v>
      </c>
      <c r="K11" s="28" t="s">
        <v>317</v>
      </c>
      <c r="L11" s="23" t="s">
        <v>292</v>
      </c>
    </row>
    <row r="12" customFormat="false" ht="42" hidden="false" customHeight="true" outlineLevel="0" collapsed="false">
      <c r="A12" s="20" t="s">
        <v>318</v>
      </c>
      <c r="B12" s="28" t="s">
        <v>319</v>
      </c>
      <c r="C12" s="4" t="s">
        <v>305</v>
      </c>
      <c r="D12" s="23" t="n">
        <v>3</v>
      </c>
      <c r="E12" s="23" t="n">
        <v>4</v>
      </c>
      <c r="F12" s="20" t="n">
        <f aca="false">D12*E12</f>
        <v>12</v>
      </c>
      <c r="G12" s="12" t="str">
        <f aca="false">IF(F12&gt;=15,"Tinggi",IF(F12&gt;=8,"Sedang","Rendah"))</f>
        <v>Sedang</v>
      </c>
      <c r="H12" s="23" t="s">
        <v>289</v>
      </c>
      <c r="I12" s="28" t="s">
        <v>320</v>
      </c>
      <c r="J12" s="20" t="s">
        <v>176</v>
      </c>
      <c r="K12" s="28" t="s">
        <v>321</v>
      </c>
      <c r="L12" s="23" t="s">
        <v>292</v>
      </c>
    </row>
    <row r="13" customFormat="false" ht="42" hidden="false" customHeight="true" outlineLevel="0" collapsed="false">
      <c r="A13" s="20" t="s">
        <v>322</v>
      </c>
      <c r="B13" s="28" t="s">
        <v>323</v>
      </c>
      <c r="C13" s="4" t="s">
        <v>189</v>
      </c>
      <c r="D13" s="23" t="n">
        <v>2</v>
      </c>
      <c r="E13" s="23" t="n">
        <v>4</v>
      </c>
      <c r="F13" s="20" t="n">
        <f aca="false">D13*E13</f>
        <v>8</v>
      </c>
      <c r="G13" s="12" t="str">
        <f aca="false">IF(F13&gt;=15,"Tinggi",IF(F13&gt;=8,"Sedang","Rendah"))</f>
        <v>Sedang</v>
      </c>
      <c r="H13" s="23" t="s">
        <v>289</v>
      </c>
      <c r="I13" s="28" t="s">
        <v>324</v>
      </c>
      <c r="J13" s="20" t="s">
        <v>174</v>
      </c>
      <c r="K13" s="28" t="s">
        <v>325</v>
      </c>
      <c r="L13" s="23" t="s">
        <v>292</v>
      </c>
    </row>
    <row r="14" customFormat="false" ht="42" hidden="false" customHeight="true" outlineLevel="0" collapsed="false">
      <c r="A14" s="20" t="s">
        <v>326</v>
      </c>
      <c r="B14" s="28" t="s">
        <v>327</v>
      </c>
      <c r="C14" s="4" t="s">
        <v>328</v>
      </c>
      <c r="D14" s="23" t="n">
        <v>2</v>
      </c>
      <c r="E14" s="23" t="n">
        <v>3</v>
      </c>
      <c r="F14" s="20" t="n">
        <f aca="false">D14*E14</f>
        <v>6</v>
      </c>
      <c r="G14" s="12" t="str">
        <f aca="false">IF(F14&gt;=15,"Tinggi",IF(F14&gt;=8,"Sedang","Rendah"))</f>
        <v>Rendah</v>
      </c>
      <c r="H14" s="23" t="s">
        <v>289</v>
      </c>
      <c r="I14" s="28" t="s">
        <v>329</v>
      </c>
      <c r="J14" s="20" t="s">
        <v>173</v>
      </c>
      <c r="K14" s="28" t="s">
        <v>330</v>
      </c>
      <c r="L14" s="23" t="s">
        <v>292</v>
      </c>
    </row>
    <row r="15" customFormat="false" ht="42" hidden="false" customHeight="true" outlineLevel="0" collapsed="false">
      <c r="A15" s="20" t="s">
        <v>331</v>
      </c>
      <c r="B15" s="28" t="s">
        <v>332</v>
      </c>
      <c r="C15" s="4" t="s">
        <v>333</v>
      </c>
      <c r="D15" s="23" t="n">
        <v>2</v>
      </c>
      <c r="E15" s="23" t="n">
        <v>2</v>
      </c>
      <c r="F15" s="20" t="n">
        <f aca="false">D15*E15</f>
        <v>4</v>
      </c>
      <c r="G15" s="12" t="str">
        <f aca="false">IF(F15&gt;=15,"Tinggi",IF(F15&gt;=8,"Sedang","Rendah"))</f>
        <v>Rendah</v>
      </c>
      <c r="H15" s="23" t="s">
        <v>334</v>
      </c>
      <c r="I15" s="28" t="s">
        <v>335</v>
      </c>
      <c r="J15" s="20" t="s">
        <v>175</v>
      </c>
      <c r="K15" s="28" t="s">
        <v>336</v>
      </c>
      <c r="L15" s="23" t="s">
        <v>292</v>
      </c>
    </row>
    <row r="17" customFormat="false" ht="15" hidden="false" customHeight="false" outlineLevel="0" collapsed="false">
      <c r="A17" s="3" t="s">
        <v>337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B18" s="12" t="s">
        <v>338</v>
      </c>
      <c r="C18" s="5" t="n">
        <v>1</v>
      </c>
      <c r="D18" s="5" t="n">
        <v>2</v>
      </c>
      <c r="E18" s="5" t="n">
        <v>3</v>
      </c>
      <c r="F18" s="5" t="n">
        <v>4</v>
      </c>
      <c r="G18" s="5" t="n">
        <v>5</v>
      </c>
    </row>
    <row r="19" customFormat="false" ht="15" hidden="false" customHeight="false" outlineLevel="0" collapsed="false">
      <c r="B19" s="5" t="n">
        <v>5</v>
      </c>
      <c r="C19" s="43" t="n">
        <f aca="false">COUNTIFS($D$6:$D$15,1,$E$6:$E$15,5)</f>
        <v>0</v>
      </c>
      <c r="D19" s="44" t="n">
        <f aca="false">COUNTIFS($D$6:$D$15,2,$E$6:$E$15,5)</f>
        <v>0</v>
      </c>
      <c r="E19" s="45" t="n">
        <f aca="false">COUNTIFS($D$6:$D$15,3,$E$6:$E$15,5)</f>
        <v>1</v>
      </c>
      <c r="F19" s="45" t="n">
        <f aca="false">COUNTIFS($D$6:$D$15,4,$E$6:$E$15,5)</f>
        <v>0</v>
      </c>
      <c r="G19" s="45" t="n">
        <f aca="false">COUNTIFS($D$6:$D$15,5,$E$6:$E$15,5)</f>
        <v>0</v>
      </c>
    </row>
    <row r="20" customFormat="false" ht="15" hidden="false" customHeight="false" outlineLevel="0" collapsed="false">
      <c r="B20" s="5" t="n">
        <v>4</v>
      </c>
      <c r="C20" s="43" t="n">
        <f aca="false">COUNTIFS($D$6:$D$15,1,$E$6:$E$15,4)</f>
        <v>0</v>
      </c>
      <c r="D20" s="44" t="n">
        <f aca="false">COUNTIFS($D$6:$D$15,2,$E$6:$E$15,4)</f>
        <v>1</v>
      </c>
      <c r="E20" s="44" t="n">
        <f aca="false">COUNTIFS($D$6:$D$15,3,$E$6:$E$15,4)</f>
        <v>3</v>
      </c>
      <c r="F20" s="45" t="n">
        <f aca="false">COUNTIFS($D$6:$D$15,4,$E$6:$E$15,4)</f>
        <v>1</v>
      </c>
      <c r="G20" s="45" t="n">
        <f aca="false">COUNTIFS($D$6:$D$15,5,$E$6:$E$15,4)</f>
        <v>0</v>
      </c>
    </row>
    <row r="21" customFormat="false" ht="15" hidden="false" customHeight="false" outlineLevel="0" collapsed="false">
      <c r="B21" s="5" t="n">
        <v>3</v>
      </c>
      <c r="C21" s="43" t="n">
        <f aca="false">COUNTIFS($D$6:$D$15,1,$E$6:$E$15,3)</f>
        <v>0</v>
      </c>
      <c r="D21" s="43" t="n">
        <f aca="false">COUNTIFS($D$6:$D$15,2,$E$6:$E$15,3)</f>
        <v>1</v>
      </c>
      <c r="E21" s="44" t="n">
        <f aca="false">COUNTIFS($D$6:$D$15,3,$E$6:$E$15,3)</f>
        <v>1</v>
      </c>
      <c r="F21" s="44" t="n">
        <f aca="false">COUNTIFS($D$6:$D$15,4,$E$6:$E$15,3)</f>
        <v>1</v>
      </c>
      <c r="G21" s="45" t="n">
        <f aca="false">COUNTIFS($D$6:$D$15,5,$E$6:$E$15,3)</f>
        <v>0</v>
      </c>
    </row>
    <row r="22" customFormat="false" ht="15" hidden="false" customHeight="false" outlineLevel="0" collapsed="false">
      <c r="B22" s="5" t="n">
        <v>2</v>
      </c>
      <c r="C22" s="43" t="n">
        <f aca="false">COUNTIFS($D$6:$D$15,1,$E$6:$E$15,2)</f>
        <v>0</v>
      </c>
      <c r="D22" s="43" t="n">
        <f aca="false">COUNTIFS($D$6:$D$15,2,$E$6:$E$15,2)</f>
        <v>1</v>
      </c>
      <c r="E22" s="43" t="n">
        <f aca="false">COUNTIFS($D$6:$D$15,3,$E$6:$E$15,2)</f>
        <v>0</v>
      </c>
      <c r="F22" s="44" t="n">
        <f aca="false">COUNTIFS($D$6:$D$15,4,$E$6:$E$15,2)</f>
        <v>0</v>
      </c>
      <c r="G22" s="44" t="n">
        <f aca="false">COUNTIFS($D$6:$D$15,5,$E$6:$E$15,2)</f>
        <v>0</v>
      </c>
    </row>
    <row r="23" customFormat="false" ht="15" hidden="false" customHeight="false" outlineLevel="0" collapsed="false">
      <c r="B23" s="5" t="n">
        <v>1</v>
      </c>
      <c r="C23" s="43" t="n">
        <f aca="false">COUNTIFS($D$6:$D$15,1,$E$6:$E$15,1)</f>
        <v>0</v>
      </c>
      <c r="D23" s="43" t="n">
        <f aca="false">COUNTIFS($D$6:$D$15,2,$E$6:$E$15,1)</f>
        <v>0</v>
      </c>
      <c r="E23" s="43" t="n">
        <f aca="false">COUNTIFS($D$6:$D$15,3,$E$6:$E$15,1)</f>
        <v>0</v>
      </c>
      <c r="F23" s="43" t="n">
        <f aca="false">COUNTIFS($D$6:$D$15,4,$E$6:$E$15,1)</f>
        <v>0</v>
      </c>
      <c r="G23" s="43" t="n">
        <f aca="false">COUNTIFS($D$6:$D$15,5,$E$6:$E$15,1)</f>
        <v>0</v>
      </c>
    </row>
    <row r="25" customFormat="false" ht="15" hidden="false" customHeight="false" outlineLevel="0" collapsed="false">
      <c r="B25" s="4" t="s">
        <v>339</v>
      </c>
      <c r="C25" s="20" t="n">
        <f aca="false">SUM(C19:G23)</f>
        <v>10</v>
      </c>
      <c r="D25" s="4" t="s">
        <v>340</v>
      </c>
    </row>
  </sheetData>
  <conditionalFormatting sqref="G6:G15">
    <cfRule type="cellIs" priority="2" operator="equal" aboveAverage="0" equalAverage="0" bottom="0" percent="0" rank="0" text="" dxfId="10">
      <formula>"Tinggi"</formula>
    </cfRule>
    <cfRule type="cellIs" priority="3" operator="equal" aboveAverage="0" equalAverage="0" bottom="0" percent="0" rank="0" text="" dxfId="11">
      <formula>"Sedang"</formula>
    </cfRule>
    <cfRule type="cellIs" priority="4" operator="equal" aboveAverage="0" equalAverage="0" bottom="0" percent="0" rank="0" text="" dxfId="9">
      <formula>"Rendah"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2026-10-21T09:56:04Z</dcterms:created>
  <dc:creator>openpyxl</dc:creator>
  <dc:description/>
  <dc:language>en-US</dc:language>
  <cp:lastModifiedBy/>
  <dcterms:modified xsi:type="dcterms:W3CDTF">2026-10-21T09:56:04Z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